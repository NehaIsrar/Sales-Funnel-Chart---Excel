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22bbb91480d642c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eha.israr\Desktop\Neha's\Projects\"/>
    </mc:Choice>
  </mc:AlternateContent>
  <xr:revisionPtr revIDLastSave="0" documentId="13_ncr:1_{B377235F-42DF-4C8F-8419-BAE9AB748199}" xr6:coauthVersionLast="36" xr6:coauthVersionMax="47" xr10:uidLastSave="{00000000-0000-0000-0000-000000000000}"/>
  <bookViews>
    <workbookView xWindow="0" yWindow="0" windowWidth="19200" windowHeight="7550" tabRatio="603" firstSheet="1" activeTab="2" xr2:uid="{00000000-000D-0000-FFFF-FFFF00000000}"/>
  </bookViews>
  <sheets>
    <sheet name="ChartsDataSheet" sheetId="13" state="veryHidden" r:id="rId1"/>
    <sheet name="Data" sheetId="12" r:id="rId2"/>
    <sheet name="Dashboard" sheetId="1" r:id="rId3"/>
    <sheet name="calc" sheetId="11" r:id="rId4"/>
  </sheets>
  <definedNames>
    <definedName name="Months">Data!$F$5:$Q$5</definedName>
  </definedNames>
  <calcPr calcId="191029"/>
</workbook>
</file>

<file path=xl/calcChain.xml><?xml version="1.0" encoding="utf-8"?>
<calcChain xmlns="http://schemas.openxmlformats.org/spreadsheetml/2006/main">
  <c r="F3" i="11" l="1"/>
  <c r="C13" i="11"/>
  <c r="C12" i="11"/>
  <c r="C11" i="11"/>
  <c r="C10" i="11"/>
  <c r="C9" i="11"/>
  <c r="C8" i="11"/>
  <c r="C7" i="11"/>
  <c r="C6" i="11"/>
  <c r="C5" i="11"/>
  <c r="C4" i="11"/>
  <c r="CNQ7" i="13"/>
  <c r="CNO6" i="13"/>
  <c r="CNO5" i="13"/>
  <c r="CNO4" i="13"/>
  <c r="CNO3" i="13"/>
  <c r="CNM7" i="13"/>
  <c r="CNK7" i="13"/>
  <c r="CNM6" i="13"/>
  <c r="CNK6" i="13"/>
  <c r="CNM5" i="13"/>
  <c r="CNK5" i="13"/>
  <c r="CNM4" i="13"/>
  <c r="CNK4" i="13"/>
  <c r="CNM3" i="13"/>
  <c r="CNK3" i="13"/>
  <c r="CNQ4" i="13"/>
  <c r="CNV5" i="13" s="1"/>
  <c r="CNV3" i="13"/>
  <c r="CNQ3" i="13"/>
  <c r="CNV4" i="13" s="1"/>
  <c r="CNM2" i="13"/>
  <c r="CNK2" i="13"/>
  <c r="CNJ7" i="13"/>
  <c r="CNJ2" i="13"/>
  <c r="CNJ4" i="13"/>
  <c r="CNJ6" i="13"/>
  <c r="CNJ5" i="13"/>
  <c r="CNJ3" i="13"/>
  <c r="CNQ5" i="13" l="1"/>
  <c r="CNV6" i="13" l="1"/>
  <c r="CNQ6" i="13"/>
  <c r="T14" i="1" l="1"/>
  <c r="P14" i="1"/>
  <c r="L14" i="1"/>
  <c r="F14" i="1"/>
  <c r="B14" i="1"/>
  <c r="P8" i="1"/>
  <c r="L8" i="1"/>
  <c r="F8" i="1"/>
  <c r="B8" i="1"/>
  <c r="G22" i="12" l="1"/>
  <c r="G23" i="12" s="1"/>
  <c r="H22" i="12"/>
  <c r="H23" i="12" s="1"/>
  <c r="I22" i="12"/>
  <c r="I23" i="12" s="1"/>
  <c r="J22" i="12"/>
  <c r="J23" i="12" s="1"/>
  <c r="K22" i="12"/>
  <c r="K23" i="12" s="1"/>
  <c r="L22" i="12"/>
  <c r="L23" i="12" s="1"/>
  <c r="M22" i="12"/>
  <c r="M23" i="12" s="1"/>
  <c r="N22" i="12"/>
  <c r="N23" i="12" s="1"/>
  <c r="O22" i="12"/>
  <c r="O23" i="12" s="1"/>
  <c r="P22" i="12"/>
  <c r="P23" i="12" s="1"/>
  <c r="Q22" i="12"/>
  <c r="Q23" i="12" s="1"/>
  <c r="F22" i="12"/>
  <c r="F23" i="12" s="1"/>
  <c r="G17" i="12" l="1"/>
  <c r="G18" i="12" s="1"/>
  <c r="H17" i="12"/>
  <c r="H18" i="12" s="1"/>
  <c r="I17" i="12"/>
  <c r="I18" i="12" s="1"/>
  <c r="J17" i="12"/>
  <c r="J18" i="12" s="1"/>
  <c r="K17" i="12"/>
  <c r="K18" i="12" s="1"/>
  <c r="L17" i="12"/>
  <c r="L18" i="12" s="1"/>
  <c r="M17" i="12"/>
  <c r="M18" i="12" s="1"/>
  <c r="N17" i="12"/>
  <c r="N18" i="12" s="1"/>
  <c r="O17" i="12"/>
  <c r="O18" i="12" s="1"/>
  <c r="P17" i="12"/>
  <c r="P18" i="12" s="1"/>
  <c r="Q17" i="12"/>
  <c r="Q18" i="12" s="1"/>
  <c r="F17" i="12"/>
  <c r="F18" i="12" s="1"/>
  <c r="G16" i="12"/>
  <c r="H16" i="12"/>
  <c r="I16" i="12"/>
  <c r="J16" i="12"/>
  <c r="K16" i="12"/>
  <c r="L16" i="12"/>
  <c r="M16" i="12"/>
  <c r="N16" i="12"/>
  <c r="O16" i="12"/>
  <c r="P16" i="12"/>
  <c r="Q16" i="12"/>
  <c r="F16" i="12"/>
  <c r="G14" i="12"/>
  <c r="H14" i="12"/>
  <c r="I14" i="12"/>
  <c r="J14" i="12"/>
  <c r="K14" i="12"/>
  <c r="L14" i="12"/>
  <c r="M14" i="12"/>
  <c r="N14" i="12"/>
  <c r="O14" i="12"/>
  <c r="P14" i="12"/>
  <c r="Q14" i="12"/>
  <c r="F14" i="12"/>
  <c r="G13" i="12"/>
  <c r="H13" i="12"/>
  <c r="I13" i="12"/>
  <c r="J13" i="12"/>
  <c r="K13" i="12"/>
  <c r="L13" i="12"/>
  <c r="M13" i="12"/>
  <c r="N13" i="12"/>
  <c r="O13" i="12"/>
  <c r="P13" i="12"/>
  <c r="Q13" i="12"/>
  <c r="F13" i="12"/>
  <c r="H9" i="12"/>
  <c r="I9" i="12"/>
  <c r="J9" i="12"/>
  <c r="K9" i="12"/>
  <c r="L9" i="12"/>
  <c r="M9" i="12"/>
  <c r="N9" i="12"/>
  <c r="O9" i="12"/>
  <c r="P9" i="12"/>
  <c r="Q9" i="12"/>
  <c r="G9" i="12"/>
  <c r="G8" i="12"/>
  <c r="H8" i="12"/>
  <c r="I8" i="12"/>
  <c r="J8" i="12"/>
  <c r="K8" i="12"/>
  <c r="L8" i="12"/>
  <c r="M8" i="12"/>
  <c r="N8" i="12"/>
  <c r="O8" i="12"/>
  <c r="P8" i="12"/>
  <c r="Q8" i="12"/>
  <c r="F8" i="12"/>
  <c r="T4" i="12" l="1"/>
  <c r="T8" i="1"/>
  <c r="G3" i="11"/>
  <c r="X23" i="12" l="1"/>
  <c r="G7" i="11" s="1"/>
  <c r="V23" i="12"/>
  <c r="F7" i="11" s="1"/>
  <c r="H7" i="11" s="1"/>
  <c r="X22" i="12"/>
  <c r="G30" i="12" s="1"/>
  <c r="CNP6" i="13" s="1"/>
  <c r="V22" i="12"/>
  <c r="X7" i="12"/>
  <c r="X11" i="12"/>
  <c r="G6" i="11" s="1"/>
  <c r="X15" i="12"/>
  <c r="X19" i="12"/>
  <c r="G27" i="12" s="1"/>
  <c r="CNP3" i="13" s="1"/>
  <c r="X18" i="12"/>
  <c r="G10" i="11" s="1"/>
  <c r="X8" i="12"/>
  <c r="X12" i="12"/>
  <c r="G9" i="11" s="1"/>
  <c r="X16" i="12"/>
  <c r="X20" i="12"/>
  <c r="G28" i="12" s="1"/>
  <c r="CNP4" i="13" s="1"/>
  <c r="X14" i="12"/>
  <c r="G13" i="11" s="1"/>
  <c r="X9" i="12"/>
  <c r="G11" i="11" s="1"/>
  <c r="X13" i="12"/>
  <c r="G12" i="11" s="1"/>
  <c r="X17" i="12"/>
  <c r="G5" i="11" s="1"/>
  <c r="X21" i="12"/>
  <c r="G29" i="12" s="1"/>
  <c r="CNP5" i="13" s="1"/>
  <c r="X10" i="12"/>
  <c r="G8" i="11" s="1"/>
  <c r="X6" i="12"/>
  <c r="G4" i="11" s="1"/>
  <c r="V19" i="12"/>
  <c r="V15" i="12"/>
  <c r="V11" i="12"/>
  <c r="V7" i="12"/>
  <c r="V6" i="12"/>
  <c r="V18" i="12"/>
  <c r="F10" i="11" s="1"/>
  <c r="V14" i="12"/>
  <c r="V10" i="12"/>
  <c r="V21" i="12"/>
  <c r="V17" i="12"/>
  <c r="F5" i="11" s="1"/>
  <c r="V13" i="12"/>
  <c r="V9" i="12"/>
  <c r="V20" i="12"/>
  <c r="V16" i="12"/>
  <c r="V12" i="12"/>
  <c r="V8" i="12"/>
  <c r="H5" i="11" l="1"/>
  <c r="T22" i="12"/>
  <c r="H10" i="11"/>
  <c r="L15" i="1"/>
  <c r="F11" i="11"/>
  <c r="H11" i="11" s="1"/>
  <c r="T9" i="1"/>
  <c r="F8" i="11"/>
  <c r="H8" i="11" s="1"/>
  <c r="P15" i="1"/>
  <c r="F12" i="11"/>
  <c r="H12" i="11" s="1"/>
  <c r="B9" i="1"/>
  <c r="F4" i="11"/>
  <c r="H4" i="11" s="1"/>
  <c r="T15" i="1"/>
  <c r="F13" i="11"/>
  <c r="H13" i="11" s="1"/>
  <c r="B15" i="1"/>
  <c r="F9" i="11"/>
  <c r="H9" i="11" s="1"/>
  <c r="L9" i="1"/>
  <c r="F6" i="11"/>
  <c r="H6" i="11" s="1"/>
  <c r="F15" i="1"/>
  <c r="F9" i="1"/>
  <c r="T23" i="12"/>
  <c r="P9" i="1"/>
  <c r="CNS4" i="13"/>
  <c r="CNR4" i="13"/>
  <c r="CNR5" i="13"/>
  <c r="CNS5" i="13"/>
  <c r="CNR3" i="13"/>
  <c r="CNS3" i="13"/>
  <c r="CNS2" i="13"/>
  <c r="CNR6" i="13"/>
  <c r="CNS6" i="13"/>
  <c r="T12" i="12"/>
  <c r="T20" i="12"/>
  <c r="T9" i="12"/>
  <c r="T10" i="12"/>
  <c r="T15" i="12"/>
  <c r="T7" i="12"/>
  <c r="T8" i="12"/>
  <c r="T14" i="12"/>
  <c r="T11" i="12"/>
  <c r="T21" i="12"/>
  <c r="T13" i="12"/>
  <c r="T16" i="12"/>
  <c r="T17" i="12"/>
  <c r="T18" i="12"/>
  <c r="T19" i="12"/>
  <c r="T6" i="12"/>
  <c r="CNR7" i="13" l="1"/>
  <c r="CNY6" i="13"/>
  <c r="CNS7" i="13"/>
  <c r="CNT4" i="13"/>
  <c r="CNT3" i="13"/>
  <c r="CNU3" i="13"/>
  <c r="CNU2" i="13"/>
  <c r="CNU4" i="13"/>
  <c r="CNU5" i="13"/>
  <c r="CNT5" i="13"/>
  <c r="CNT6" i="13"/>
  <c r="CNU6" i="13"/>
  <c r="CNY3" i="13"/>
  <c r="CNY5" i="13"/>
  <c r="CNY4" i="13"/>
  <c r="CNX2" i="13" l="1"/>
  <c r="CNX3" i="13" s="1"/>
  <c r="CNX4" i="13" s="1"/>
  <c r="CNX5" i="13" s="1"/>
  <c r="CNX6" i="13" s="1"/>
  <c r="CNW2" i="13"/>
  <c r="CNW3" i="13" s="1"/>
  <c r="CNW4" i="13" s="1"/>
  <c r="CNW5" i="13" s="1"/>
  <c r="CNW6" i="13" s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D83" i="1"/>
  <c r="D84" i="1"/>
  <c r="D85" i="1"/>
  <c r="D86" i="1"/>
  <c r="D87" i="1"/>
  <c r="D88" i="1" l="1"/>
  <c r="D76" i="1"/>
  <c r="D77" i="1" l="1"/>
  <c r="E75" i="1" s="1"/>
  <c r="E76" i="1" l="1"/>
</calcChain>
</file>

<file path=xl/sharedStrings.xml><?xml version="1.0" encoding="utf-8"?>
<sst xmlns="http://schemas.openxmlformats.org/spreadsheetml/2006/main" count="284" uniqueCount="200">
  <si>
    <t>Jan</t>
  </si>
  <si>
    <t>Feb</t>
  </si>
  <si>
    <t>Mar</t>
  </si>
  <si>
    <t>F</t>
  </si>
  <si>
    <t xml:space="preserve">M </t>
  </si>
  <si>
    <t>Apr</t>
  </si>
  <si>
    <t>Jun</t>
  </si>
  <si>
    <t>Jul</t>
  </si>
  <si>
    <t>Aug</t>
  </si>
  <si>
    <t>May</t>
  </si>
  <si>
    <t>Sep</t>
  </si>
  <si>
    <t>Oct</t>
  </si>
  <si>
    <t>Nov</t>
  </si>
  <si>
    <t>Dec</t>
  </si>
  <si>
    <t>Total</t>
  </si>
  <si>
    <t>Permanent</t>
  </si>
  <si>
    <t>Student</t>
  </si>
  <si>
    <t>Part Time</t>
  </si>
  <si>
    <t>ID</t>
  </si>
  <si>
    <t>Headcount</t>
  </si>
  <si>
    <t>Temporary/contract</t>
  </si>
  <si>
    <t>Full Time</t>
  </si>
  <si>
    <t>KPI</t>
  </si>
  <si>
    <t xml:space="preserve"> </t>
  </si>
  <si>
    <t>Var.</t>
  </si>
  <si>
    <t>Variance (T-1)</t>
  </si>
  <si>
    <t>Actual value</t>
  </si>
  <si>
    <t>T-1 Value</t>
  </si>
  <si>
    <t>Revenues</t>
  </si>
  <si>
    <t>Target</t>
  </si>
  <si>
    <t>% Target</t>
  </si>
  <si>
    <t>Monthly Growth</t>
  </si>
  <si>
    <t>Customers</t>
  </si>
  <si>
    <t>Orders Placed</t>
  </si>
  <si>
    <t>Purchased Items</t>
  </si>
  <si>
    <t>AVG Sales / Customer</t>
  </si>
  <si>
    <t>AVG Ticket Sales</t>
  </si>
  <si>
    <t>Total Cost (Sales &amp; Marketing)</t>
  </si>
  <si>
    <t>Customer Acquisition Costs (CAC)</t>
  </si>
  <si>
    <t>Profit</t>
  </si>
  <si>
    <t>% Profit</t>
  </si>
  <si>
    <t>Inquiries</t>
  </si>
  <si>
    <t>Lead</t>
  </si>
  <si>
    <t>Opportunity</t>
  </si>
  <si>
    <t>Sales</t>
  </si>
  <si>
    <t>Conversion Rate</t>
  </si>
  <si>
    <t>Metrics</t>
  </si>
  <si>
    <t>Gauge Chart Name:</t>
  </si>
  <si>
    <t>AV</t>
  </si>
  <si>
    <t>min</t>
  </si>
  <si>
    <t>max</t>
  </si>
  <si>
    <t>diff</t>
  </si>
  <si>
    <t>Format</t>
  </si>
  <si>
    <t>Decimals</t>
  </si>
  <si>
    <t>Labels size</t>
  </si>
  <si>
    <t>AV size</t>
  </si>
  <si>
    <t>ref 2E</t>
  </si>
  <si>
    <t>ref 1E</t>
  </si>
  <si>
    <t>color 1</t>
  </si>
  <si>
    <t>color 2</t>
  </si>
  <si>
    <t>color 3</t>
  </si>
  <si>
    <t>Skin</t>
  </si>
  <si>
    <t>Sheet Name</t>
  </si>
  <si>
    <t>Sheet Index</t>
  </si>
  <si>
    <t>Attached</t>
  </si>
  <si>
    <t>Reference</t>
  </si>
  <si>
    <t>color AV</t>
  </si>
  <si>
    <t>Description</t>
  </si>
  <si>
    <t>Size</t>
  </si>
  <si>
    <t>PV</t>
  </si>
  <si>
    <t>TextBoxDiff</t>
  </si>
  <si>
    <t>color PV</t>
  </si>
  <si>
    <t>ref 4S</t>
  </si>
  <si>
    <t>ref 4E</t>
  </si>
  <si>
    <t>ref 5E</t>
  </si>
  <si>
    <t>ref 6E</t>
  </si>
  <si>
    <t>ref 7E</t>
  </si>
  <si>
    <t>ref 8E</t>
  </si>
  <si>
    <t>ref 9E</t>
  </si>
  <si>
    <t>ref 10E</t>
  </si>
  <si>
    <t>ref 11E</t>
  </si>
  <si>
    <t>ref 12E</t>
  </si>
  <si>
    <t>color 4</t>
  </si>
  <si>
    <t>color 5</t>
  </si>
  <si>
    <t>color 6</t>
  </si>
  <si>
    <t>color 7</t>
  </si>
  <si>
    <t>color 8</t>
  </si>
  <si>
    <t>color 9</t>
  </si>
  <si>
    <t>color 10</t>
  </si>
  <si>
    <t>color 11</t>
  </si>
  <si>
    <t>color 12</t>
  </si>
  <si>
    <t>Zones Count</t>
  </si>
  <si>
    <t>Hform</t>
  </si>
  <si>
    <t>Reverse?</t>
  </si>
  <si>
    <t>color LB</t>
  </si>
  <si>
    <t>color A</t>
  </si>
  <si>
    <t>color D</t>
  </si>
  <si>
    <t>Variance Chart Name:</t>
  </si>
  <si>
    <t>Data 1</t>
  </si>
  <si>
    <t>Data 2</t>
  </si>
  <si>
    <t>Diff</t>
  </si>
  <si>
    <t>Series 1</t>
  </si>
  <si>
    <t>Series 2</t>
  </si>
  <si>
    <t>Sales Funnel Chart Name:</t>
  </si>
  <si>
    <t>TL Chart Name:</t>
  </si>
  <si>
    <t>Green</t>
  </si>
  <si>
    <t>Yellow</t>
  </si>
  <si>
    <t>AV Val.</t>
  </si>
  <si>
    <t>Size 1</t>
  </si>
  <si>
    <t>Size 2</t>
  </si>
  <si>
    <t>Size 3</t>
  </si>
  <si>
    <t>ForeColor</t>
  </si>
  <si>
    <t>Border</t>
  </si>
  <si>
    <t>Off Light</t>
  </si>
  <si>
    <t>Text</t>
  </si>
  <si>
    <t>Color 1</t>
  </si>
  <si>
    <t>Color 2</t>
  </si>
  <si>
    <t>Color 3</t>
  </si>
  <si>
    <t>Model</t>
  </si>
  <si>
    <t>Minim</t>
  </si>
  <si>
    <t>Maxim</t>
  </si>
  <si>
    <t>VarianceActualHorizontal:</t>
  </si>
  <si>
    <t>WaterFallChart Name:</t>
  </si>
  <si>
    <t>Labels</t>
  </si>
  <si>
    <t>Values</t>
  </si>
  <si>
    <t>Cumulative</t>
  </si>
  <si>
    <t>Start - End</t>
  </si>
  <si>
    <t>Before</t>
  </si>
  <si>
    <t>After</t>
  </si>
  <si>
    <t>Data label position</t>
  </si>
  <si>
    <t>MekkoChart Name:</t>
  </si>
  <si>
    <t>OrgChart Name:</t>
  </si>
  <si>
    <t>RadialBarChart Name:</t>
  </si>
  <si>
    <t>MaxValue</t>
  </si>
  <si>
    <t>Value 1</t>
  </si>
  <si>
    <t>Desc 1</t>
  </si>
  <si>
    <t>v 1</t>
  </si>
  <si>
    <t>i 1</t>
  </si>
  <si>
    <t>Value 2</t>
  </si>
  <si>
    <t>Desc 2</t>
  </si>
  <si>
    <t>v 2</t>
  </si>
  <si>
    <t>i 2</t>
  </si>
  <si>
    <t>Value 3</t>
  </si>
  <si>
    <t>Desc 3</t>
  </si>
  <si>
    <t>v 3</t>
  </si>
  <si>
    <t>i 3</t>
  </si>
  <si>
    <t>Value 4</t>
  </si>
  <si>
    <t>Desc 4</t>
  </si>
  <si>
    <t>v 4</t>
  </si>
  <si>
    <t>i 4</t>
  </si>
  <si>
    <t>Value 5</t>
  </si>
  <si>
    <t>Desc 5</t>
  </si>
  <si>
    <t>v 5</t>
  </si>
  <si>
    <t>i 5</t>
  </si>
  <si>
    <t>Value 6</t>
  </si>
  <si>
    <t>Desc 6</t>
  </si>
  <si>
    <t>v 6</t>
  </si>
  <si>
    <t>i 6</t>
  </si>
  <si>
    <t>Value 7</t>
  </si>
  <si>
    <t>Desc 7</t>
  </si>
  <si>
    <t>v 7</t>
  </si>
  <si>
    <t>i 7</t>
  </si>
  <si>
    <t>Value 8</t>
  </si>
  <si>
    <t>Desc 8</t>
  </si>
  <si>
    <t>v 8</t>
  </si>
  <si>
    <t>i 8</t>
  </si>
  <si>
    <t>Value 9</t>
  </si>
  <si>
    <t>Desc 9</t>
  </si>
  <si>
    <t>v 9</t>
  </si>
  <si>
    <t>i 9</t>
  </si>
  <si>
    <t>Value 10</t>
  </si>
  <si>
    <t>Desc 10</t>
  </si>
  <si>
    <t>v 10</t>
  </si>
  <si>
    <t>i 10</t>
  </si>
  <si>
    <t>Sales Funnel2 Chart Name:</t>
  </si>
  <si>
    <t>Colors</t>
  </si>
  <si>
    <t>DataText</t>
  </si>
  <si>
    <t>DataValue</t>
  </si>
  <si>
    <t>x</t>
  </si>
  <si>
    <t>Label</t>
  </si>
  <si>
    <t>Value</t>
  </si>
  <si>
    <t>Low</t>
  </si>
  <si>
    <t>High</t>
  </si>
  <si>
    <t>x2</t>
  </si>
  <si>
    <t>yLabel</t>
  </si>
  <si>
    <t>yPercent</t>
  </si>
  <si>
    <t>LabelPercent</t>
  </si>
  <si>
    <t>xxx</t>
  </si>
  <si>
    <t>Ring Chart Name:</t>
  </si>
  <si>
    <t>WindRoseChart Name:</t>
  </si>
  <si>
    <t>Cat 1</t>
  </si>
  <si>
    <t>Cat 2</t>
  </si>
  <si>
    <t>Cat 3</t>
  </si>
  <si>
    <t>Cat 4</t>
  </si>
  <si>
    <t>Cat 5</t>
  </si>
  <si>
    <t>Cat 6</t>
  </si>
  <si>
    <t>SF2_1</t>
  </si>
  <si>
    <t>BUBBLE</t>
  </si>
  <si>
    <t>Select Month</t>
  </si>
  <si>
    <t>Sales Funnel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</si>
</sst>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)\ _$_ ;_ * \(#,##0.00\)\ _$_ ;_ * &quot;-&quot;??_)\ _$_ ;_ @_ "/>
    <numFmt numFmtId="165" formatCode="0.0%"/>
    <numFmt numFmtId="166" formatCode="[h]:mm:ss;@"/>
  </numFmts>
  <fonts count="5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 tint="0.249977111117893"/>
      <name val="Arial"/>
      <family val="2"/>
    </font>
    <font>
      <b/>
      <sz val="24"/>
      <color theme="1" tint="0.249977111117893"/>
      <name val="Segoe UI"/>
      <family val="2"/>
    </font>
    <font>
      <sz val="11"/>
      <color theme="1" tint="0.249977111117893"/>
      <name val="Segoe UI"/>
      <family val="2"/>
    </font>
    <font>
      <sz val="11"/>
      <color theme="1"/>
      <name val="Segoe UI"/>
      <family val="2"/>
    </font>
    <font>
      <sz val="12"/>
      <color theme="1" tint="0.249977111117893"/>
      <name val="Segoe UI"/>
      <family val="2"/>
    </font>
    <font>
      <b/>
      <sz val="18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Segoe UI"/>
      <family val="2"/>
    </font>
    <font>
      <sz val="11"/>
      <color theme="1" tint="0.249977111117893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Segoe UI"/>
      <family val="2"/>
    </font>
    <font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 tint="0.34998626667073579"/>
      <name val="Segoe UI"/>
      <family val="2"/>
    </font>
    <font>
      <i/>
      <sz val="9"/>
      <color theme="1" tint="0.249977111117893"/>
      <name val="Segoe UI"/>
      <family val="2"/>
    </font>
    <font>
      <b/>
      <sz val="9"/>
      <color rgb="FF7F7F7F"/>
      <name val="Segoe UI"/>
      <family val="2"/>
    </font>
    <font>
      <sz val="9"/>
      <color rgb="FF5C6769"/>
      <name val="Segoe UI"/>
      <family val="2"/>
    </font>
    <font>
      <b/>
      <i/>
      <sz val="9"/>
      <color theme="1" tint="0.34998626667073579"/>
      <name val="Segoe UI"/>
      <family val="2"/>
    </font>
    <font>
      <b/>
      <sz val="26"/>
      <color rgb="FF4F83BD"/>
      <name val="Webdings"/>
      <family val="1"/>
      <charset val="2"/>
    </font>
    <font>
      <i/>
      <sz val="10"/>
      <color theme="1" tint="0.34998626667073579"/>
      <name val="Segoe UI"/>
      <family val="2"/>
    </font>
    <font>
      <b/>
      <i/>
      <sz val="10"/>
      <color theme="1" tint="0.34998626667073579"/>
      <name val="Segoe UI"/>
      <family val="2"/>
    </font>
    <font>
      <b/>
      <i/>
      <sz val="10"/>
      <color theme="1" tint="0.249977111117893"/>
      <name val="Segoe UI"/>
      <family val="2"/>
    </font>
    <font>
      <i/>
      <sz val="9"/>
      <color theme="1"/>
      <name val="Calibri"/>
      <family val="2"/>
      <scheme val="minor"/>
    </font>
    <font>
      <b/>
      <i/>
      <sz val="9"/>
      <color theme="1"/>
      <name val="Segoe UI"/>
      <family val="2"/>
    </font>
    <font>
      <b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theme="1" tint="0.499984740745262"/>
      <name val="Segoe UI"/>
      <family val="2"/>
    </font>
    <font>
      <sz val="11"/>
      <color theme="1" tint="0.499984740745262"/>
      <name val="Segoe UI"/>
      <family val="2"/>
    </font>
    <font>
      <sz val="11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9"/>
      <color theme="1" tint="0.249977111117893"/>
      <name val="Segoe UI"/>
      <family val="2"/>
    </font>
    <font>
      <i/>
      <sz val="9"/>
      <color theme="0" tint="-0.34998626667073579"/>
      <name val="Calibri"/>
      <family val="2"/>
      <scheme val="minor"/>
    </font>
    <font>
      <b/>
      <i/>
      <sz val="10"/>
      <color theme="0" tint="-0.499984740745262"/>
      <name val="Segoe UI"/>
      <family val="2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i/>
      <sz val="9"/>
      <color theme="0"/>
      <name val="Segoe UI"/>
      <family val="2"/>
    </font>
    <font>
      <sz val="11"/>
      <color rgb="FFFFFFFF"/>
      <name val="Calibri"/>
      <family val="2"/>
      <scheme val="minor"/>
    </font>
    <font>
      <b/>
      <sz val="14"/>
      <color theme="1" tint="0.499984740745262"/>
      <name val="Segoe UI"/>
      <family val="2"/>
    </font>
    <font>
      <b/>
      <sz val="16"/>
      <color theme="1" tint="0.499984740745262"/>
      <name val="Berlin Sans FB Demi"/>
      <family val="2"/>
    </font>
    <font>
      <sz val="16"/>
      <color theme="1"/>
      <name val="Segoe UI"/>
      <family val="2"/>
    </font>
    <font>
      <sz val="16"/>
      <color theme="1"/>
      <name val="Calibri"/>
      <family val="2"/>
      <scheme val="minor"/>
    </font>
    <font>
      <b/>
      <i/>
      <sz val="9"/>
      <color theme="0" tint="-0.499984740745262"/>
      <name val="Segoe UI"/>
      <family val="2"/>
    </font>
    <font>
      <b/>
      <i/>
      <sz val="9"/>
      <color rgb="FFFF0000"/>
      <name val="Segoe UI"/>
      <family val="2"/>
    </font>
    <font>
      <b/>
      <sz val="10"/>
      <color theme="0"/>
      <name val="Segoe UI"/>
      <family val="2"/>
    </font>
    <font>
      <b/>
      <sz val="18"/>
      <color theme="0"/>
      <name val="Calibri"/>
      <family val="2"/>
      <scheme val="minor"/>
    </font>
    <font>
      <sz val="10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i/>
      <sz val="11"/>
      <color theme="8"/>
      <name val="Calibri"/>
      <family val="2"/>
      <scheme val="minor"/>
    </font>
    <font>
      <b/>
      <i/>
      <sz val="10"/>
      <color theme="8"/>
      <name val="Arial"/>
      <family val="2"/>
    </font>
    <font>
      <b/>
      <i/>
      <sz val="18"/>
      <color theme="8" tint="0.3999755851924192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35361"/>
        <bgColor indexed="64"/>
      </patternFill>
    </fill>
    <fill>
      <patternFill patternType="solid">
        <fgColor rgb="FF5D90AF"/>
        <bgColor indexed="64"/>
      </patternFill>
    </fill>
    <fill>
      <patternFill patternType="solid">
        <fgColor rgb="FF01B1A3"/>
        <bgColor indexed="64"/>
      </patternFill>
    </fill>
    <fill>
      <patternFill patternType="solid">
        <fgColor rgb="FF5C676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1" tint="0.2499465926084170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3" fontId="5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0" fontId="5" fillId="0" borderId="0" xfId="1" applyNumberFormat="1" applyFont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3" fontId="5" fillId="0" borderId="0" xfId="0" applyNumberFormat="1" applyFont="1" applyAlignment="1">
      <alignment vertical="center"/>
    </xf>
    <xf numFmtId="165" fontId="5" fillId="0" borderId="0" xfId="1" applyNumberFormat="1" applyFont="1" applyBorder="1" applyAlignment="1">
      <alignment vertical="center"/>
    </xf>
    <xf numFmtId="1" fontId="5" fillId="0" borderId="0" xfId="0" applyNumberFormat="1" applyFont="1" applyAlignment="1">
      <alignment vertical="center"/>
    </xf>
    <xf numFmtId="0" fontId="11" fillId="3" borderId="0" xfId="0" applyFont="1" applyFill="1" applyAlignment="1" applyProtection="1">
      <alignment horizontal="left" vertical="center"/>
      <protection hidden="1"/>
    </xf>
    <xf numFmtId="37" fontId="11" fillId="3" borderId="0" xfId="2" applyNumberFormat="1" applyFont="1" applyFill="1" applyAlignment="1" applyProtection="1">
      <alignment vertical="center"/>
      <protection hidden="1"/>
    </xf>
    <xf numFmtId="9" fontId="11" fillId="3" borderId="0" xfId="1" applyFont="1" applyFill="1" applyAlignment="1" applyProtection="1">
      <alignment vertical="center"/>
      <protection hidden="1"/>
    </xf>
    <xf numFmtId="0" fontId="11" fillId="3" borderId="0" xfId="0" applyFont="1" applyFill="1" applyAlignment="1" applyProtection="1">
      <alignment vertical="center"/>
      <protection hidden="1"/>
    </xf>
    <xf numFmtId="0" fontId="11" fillId="3" borderId="0" xfId="0" applyFont="1" applyFill="1" applyAlignment="1">
      <alignment vertical="center"/>
    </xf>
    <xf numFmtId="165" fontId="12" fillId="3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 applyProtection="1">
      <alignment vertical="center"/>
      <protection locked="0"/>
    </xf>
    <xf numFmtId="0" fontId="0" fillId="2" borderId="0" xfId="0" applyFill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 applyProtection="1">
      <alignment vertical="center"/>
      <protection locked="0"/>
    </xf>
    <xf numFmtId="0" fontId="16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18" fillId="0" borderId="0" xfId="0" applyFont="1"/>
    <xf numFmtId="0" fontId="20" fillId="2" borderId="3" xfId="3" applyFont="1" applyFill="1" applyBorder="1" applyAlignment="1">
      <alignment horizontal="center" vertical="center"/>
    </xf>
    <xf numFmtId="165" fontId="21" fillId="3" borderId="0" xfId="3" applyNumberFormat="1" applyFont="1" applyFill="1" applyAlignment="1">
      <alignment horizontal="center" vertical="center"/>
    </xf>
    <xf numFmtId="0" fontId="22" fillId="3" borderId="0" xfId="3" applyFont="1" applyFill="1" applyBorder="1" applyAlignment="1" applyProtection="1">
      <alignment horizontal="center" vertical="center"/>
      <protection hidden="1"/>
    </xf>
    <xf numFmtId="0" fontId="22" fillId="3" borderId="0" xfId="3" applyFont="1" applyFill="1" applyBorder="1" applyAlignment="1" applyProtection="1">
      <alignment horizontal="left" vertical="center"/>
      <protection hidden="1"/>
    </xf>
    <xf numFmtId="0" fontId="22" fillId="3" borderId="0" xfId="3" applyFont="1" applyFill="1" applyBorder="1" applyAlignment="1" applyProtection="1">
      <alignment horizontal="center" vertical="center"/>
    </xf>
    <xf numFmtId="0" fontId="9" fillId="0" borderId="0" xfId="0" applyFont="1" applyAlignment="1">
      <alignment vertical="center"/>
    </xf>
    <xf numFmtId="0" fontId="24" fillId="0" borderId="0" xfId="0" applyFont="1"/>
    <xf numFmtId="0" fontId="25" fillId="0" borderId="0" xfId="3" applyFont="1" applyFill="1" applyBorder="1" applyAlignment="1" applyProtection="1">
      <alignment horizontal="center" vertical="center"/>
    </xf>
    <xf numFmtId="0" fontId="25" fillId="3" borderId="0" xfId="3" applyFont="1" applyFill="1" applyBorder="1" applyAlignment="1" applyProtection="1">
      <alignment horizontal="center" vertical="center"/>
    </xf>
    <xf numFmtId="0" fontId="25" fillId="3" borderId="0" xfId="3" applyFont="1" applyFill="1" applyBorder="1" applyAlignment="1" applyProtection="1">
      <alignment horizontal="center" vertical="center"/>
      <protection hidden="1"/>
    </xf>
    <xf numFmtId="0" fontId="26" fillId="3" borderId="0" xfId="3" applyFont="1" applyFill="1" applyBorder="1" applyAlignment="1" applyProtection="1">
      <alignment horizontal="left" vertical="center"/>
      <protection hidden="1"/>
    </xf>
    <xf numFmtId="1" fontId="28" fillId="0" borderId="0" xfId="0" applyNumberFormat="1" applyFont="1"/>
    <xf numFmtId="165" fontId="28" fillId="0" borderId="0" xfId="0" applyNumberFormat="1" applyFont="1"/>
    <xf numFmtId="0" fontId="29" fillId="5" borderId="0" xfId="0" applyFont="1" applyFill="1" applyAlignment="1">
      <alignment horizontal="center"/>
    </xf>
    <xf numFmtId="0" fontId="29" fillId="5" borderId="0" xfId="0" applyFont="1" applyFill="1"/>
    <xf numFmtId="165" fontId="31" fillId="0" borderId="0" xfId="0" applyNumberFormat="1" applyFont="1"/>
    <xf numFmtId="0" fontId="0" fillId="3" borderId="0" xfId="0" applyFill="1" applyAlignment="1">
      <alignment vertical="center"/>
    </xf>
    <xf numFmtId="0" fontId="33" fillId="2" borderId="0" xfId="0" applyFont="1" applyFill="1" applyAlignment="1">
      <alignment vertical="center"/>
    </xf>
    <xf numFmtId="0" fontId="34" fillId="2" borderId="0" xfId="0" applyFont="1" applyFill="1" applyAlignment="1">
      <alignment vertical="center"/>
    </xf>
    <xf numFmtId="0" fontId="36" fillId="0" borderId="0" xfId="0" applyFont="1"/>
    <xf numFmtId="0" fontId="35" fillId="5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 vertical="center"/>
    </xf>
    <xf numFmtId="0" fontId="27" fillId="3" borderId="0" xfId="3" applyFont="1" applyFill="1" applyBorder="1" applyAlignment="1">
      <alignment horizontal="center" vertical="center"/>
    </xf>
    <xf numFmtId="9" fontId="31" fillId="0" borderId="0" xfId="0" applyNumberFormat="1" applyFont="1"/>
    <xf numFmtId="165" fontId="38" fillId="0" borderId="0" xfId="0" applyNumberFormat="1" applyFont="1"/>
    <xf numFmtId="0" fontId="27" fillId="2" borderId="0" xfId="3" applyFont="1" applyFill="1" applyBorder="1" applyAlignment="1">
      <alignment horizontal="center" vertical="center"/>
    </xf>
    <xf numFmtId="0" fontId="27" fillId="4" borderId="0" xfId="3" applyFont="1" applyFill="1" applyBorder="1" applyAlignment="1">
      <alignment horizontal="center" vertical="center"/>
    </xf>
    <xf numFmtId="0" fontId="23" fillId="0" borderId="0" xfId="3" applyFont="1" applyFill="1" applyBorder="1" applyAlignment="1" applyProtection="1">
      <alignment vertical="center"/>
      <protection hidden="1"/>
    </xf>
    <xf numFmtId="0" fontId="25" fillId="0" borderId="0" xfId="3" applyFont="1" applyFill="1" applyBorder="1" applyAlignment="1" applyProtection="1">
      <alignment horizontal="center" vertical="center" wrapText="1"/>
      <protection hidden="1"/>
    </xf>
    <xf numFmtId="0" fontId="39" fillId="3" borderId="0" xfId="3" applyFont="1" applyFill="1" applyBorder="1" applyAlignment="1" applyProtection="1">
      <alignment vertical="center"/>
      <protection hidden="1"/>
    </xf>
    <xf numFmtId="1" fontId="31" fillId="0" borderId="0" xfId="0" applyNumberFormat="1" applyFont="1"/>
    <xf numFmtId="1" fontId="20" fillId="3" borderId="0" xfId="3" applyNumberFormat="1" applyFont="1" applyFill="1" applyBorder="1" applyAlignment="1" applyProtection="1">
      <alignment horizontal="center" vertical="center"/>
      <protection hidden="1"/>
    </xf>
    <xf numFmtId="9" fontId="20" fillId="5" borderId="0" xfId="1" applyFont="1" applyFill="1" applyBorder="1" applyAlignment="1" applyProtection="1">
      <alignment horizontal="center" vertical="center"/>
      <protection hidden="1"/>
    </xf>
    <xf numFmtId="0" fontId="35" fillId="12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5" fillId="9" borderId="0" xfId="0" applyFont="1" applyFill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horizontal="center"/>
    </xf>
    <xf numFmtId="0" fontId="41" fillId="0" borderId="0" xfId="0" applyFont="1" applyAlignment="1">
      <alignment horizontal="center" vertical="center"/>
    </xf>
    <xf numFmtId="0" fontId="35" fillId="0" borderId="0" xfId="0" applyFont="1"/>
    <xf numFmtId="0" fontId="1" fillId="0" borderId="0" xfId="0" applyFont="1"/>
    <xf numFmtId="0" fontId="42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center"/>
    </xf>
    <xf numFmtId="0" fontId="41" fillId="6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35" fillId="11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43" fillId="13" borderId="0" xfId="3" applyFont="1" applyFill="1" applyBorder="1" applyAlignment="1" applyProtection="1">
      <alignment vertical="center"/>
      <protection hidden="1"/>
    </xf>
    <xf numFmtId="0" fontId="43" fillId="14" borderId="0" xfId="3" applyFont="1" applyFill="1" applyBorder="1" applyAlignment="1" applyProtection="1">
      <alignment vertical="center"/>
      <protection hidden="1"/>
    </xf>
    <xf numFmtId="0" fontId="43" fillId="15" borderId="0" xfId="3" applyFont="1" applyFill="1" applyBorder="1" applyAlignment="1" applyProtection="1">
      <alignment vertical="center"/>
      <protection hidden="1"/>
    </xf>
    <xf numFmtId="0" fontId="43" fillId="16" borderId="0" xfId="3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1" fillId="0" borderId="0" xfId="0" applyNumberFormat="1" applyFont="1"/>
    <xf numFmtId="0" fontId="40" fillId="17" borderId="0" xfId="0" applyFont="1" applyFill="1" applyAlignment="1">
      <alignment horizontal="center"/>
    </xf>
    <xf numFmtId="9" fontId="1" fillId="0" borderId="0" xfId="0" applyNumberFormat="1" applyFont="1" applyAlignment="1">
      <alignment horizontal="center"/>
    </xf>
    <xf numFmtId="0" fontId="40" fillId="18" borderId="0" xfId="0" applyFont="1" applyFill="1" applyAlignment="1">
      <alignment horizontal="center"/>
    </xf>
    <xf numFmtId="0" fontId="40" fillId="7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44" fillId="13" borderId="0" xfId="0" applyFont="1" applyFill="1" applyAlignment="1">
      <alignment horizontal="center" vertical="center"/>
    </xf>
    <xf numFmtId="0" fontId="44" fillId="14" borderId="0" xfId="0" applyFont="1" applyFill="1" applyAlignment="1">
      <alignment horizontal="center" vertical="center"/>
    </xf>
    <xf numFmtId="0" fontId="44" fillId="15" borderId="0" xfId="0" applyFont="1" applyFill="1" applyAlignment="1">
      <alignment horizontal="center" vertical="center"/>
    </xf>
    <xf numFmtId="0" fontId="44" fillId="16" borderId="0" xfId="0" applyFont="1" applyFill="1" applyAlignment="1">
      <alignment horizontal="center" vertical="center"/>
    </xf>
    <xf numFmtId="0" fontId="47" fillId="2" borderId="0" xfId="0" applyFont="1" applyFill="1" applyAlignment="1">
      <alignment vertical="center"/>
    </xf>
    <xf numFmtId="0" fontId="48" fillId="2" borderId="0" xfId="0" applyFont="1" applyFill="1" applyAlignment="1">
      <alignment vertical="center"/>
    </xf>
    <xf numFmtId="165" fontId="28" fillId="0" borderId="0" xfId="1" applyNumberFormat="1" applyFont="1" applyBorder="1"/>
    <xf numFmtId="0" fontId="28" fillId="0" borderId="0" xfId="0" applyFont="1"/>
    <xf numFmtId="0" fontId="23" fillId="3" borderId="0" xfId="3" applyFont="1" applyFill="1" applyBorder="1" applyAlignment="1" applyProtection="1">
      <alignment horizontal="center" vertical="center"/>
      <protection hidden="1"/>
    </xf>
    <xf numFmtId="0" fontId="23" fillId="3" borderId="0" xfId="3" applyFont="1" applyFill="1" applyBorder="1" applyAlignment="1" applyProtection="1">
      <alignment vertical="center"/>
      <protection hidden="1"/>
    </xf>
    <xf numFmtId="0" fontId="19" fillId="3" borderId="0" xfId="3" applyFont="1" applyFill="1" applyBorder="1" applyAlignment="1" applyProtection="1">
      <alignment horizontal="center" vertical="center"/>
      <protection hidden="1"/>
    </xf>
    <xf numFmtId="9" fontId="19" fillId="3" borderId="0" xfId="1" applyFont="1" applyFill="1" applyBorder="1" applyAlignment="1" applyProtection="1">
      <alignment horizontal="center" vertical="center"/>
      <protection hidden="1"/>
    </xf>
    <xf numFmtId="165" fontId="21" fillId="3" borderId="0" xfId="3" applyNumberFormat="1" applyFont="1" applyFill="1" applyBorder="1" applyAlignment="1">
      <alignment horizontal="center" vertical="center"/>
    </xf>
    <xf numFmtId="9" fontId="20" fillId="3" borderId="0" xfId="1" applyFont="1" applyFill="1" applyBorder="1" applyAlignment="1" applyProtection="1">
      <alignment horizontal="center" vertical="center"/>
      <protection hidden="1"/>
    </xf>
    <xf numFmtId="165" fontId="37" fillId="8" borderId="0" xfId="1" applyNumberFormat="1" applyFont="1" applyFill="1" applyBorder="1" applyAlignment="1" applyProtection="1">
      <alignment horizontal="center" vertical="center"/>
      <protection hidden="1"/>
    </xf>
    <xf numFmtId="165" fontId="20" fillId="3" borderId="0" xfId="1" applyNumberFormat="1" applyFont="1" applyFill="1" applyBorder="1" applyAlignment="1" applyProtection="1">
      <alignment horizontal="center" vertical="center"/>
      <protection hidden="1"/>
    </xf>
    <xf numFmtId="1" fontId="20" fillId="8" borderId="0" xfId="3" applyNumberFormat="1" applyFont="1" applyFill="1" applyBorder="1" applyAlignment="1" applyProtection="1">
      <alignment horizontal="center" vertical="center"/>
      <protection hidden="1"/>
    </xf>
    <xf numFmtId="9" fontId="20" fillId="8" borderId="0" xfId="1" applyFont="1" applyFill="1" applyBorder="1" applyAlignment="1" applyProtection="1">
      <alignment horizontal="center" vertical="center"/>
      <protection hidden="1"/>
    </xf>
    <xf numFmtId="0" fontId="37" fillId="2" borderId="0" xfId="3" applyFont="1" applyFill="1" applyBorder="1" applyAlignment="1">
      <alignment horizontal="center" vertical="center"/>
    </xf>
    <xf numFmtId="0" fontId="19" fillId="3" borderId="0" xfId="3" applyFont="1" applyFill="1" applyBorder="1" applyAlignment="1" applyProtection="1">
      <alignment horizontal="center" vertical="center"/>
    </xf>
    <xf numFmtId="0" fontId="49" fillId="3" borderId="0" xfId="3" applyFont="1" applyFill="1" applyBorder="1" applyAlignment="1" applyProtection="1">
      <alignment vertical="center"/>
      <protection hidden="1"/>
    </xf>
    <xf numFmtId="0" fontId="50" fillId="3" borderId="0" xfId="3" applyFont="1" applyFill="1" applyBorder="1" applyAlignment="1" applyProtection="1">
      <alignment vertical="center"/>
      <protection hidden="1"/>
    </xf>
    <xf numFmtId="0" fontId="37" fillId="2" borderId="0" xfId="3" applyFont="1" applyFill="1" applyBorder="1" applyAlignment="1">
      <alignment horizontal="left" vertical="center"/>
    </xf>
    <xf numFmtId="0" fontId="23" fillId="0" borderId="0" xfId="3" applyFont="1" applyFill="1" applyBorder="1" applyAlignment="1" applyProtection="1">
      <alignment horizontal="left" vertical="center"/>
      <protection hidden="1"/>
    </xf>
    <xf numFmtId="0" fontId="32" fillId="3" borderId="1" xfId="0" applyFont="1" applyFill="1" applyBorder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10" fontId="8" fillId="0" borderId="0" xfId="1" applyNumberFormat="1" applyFont="1" applyBorder="1" applyAlignment="1">
      <alignment horizontal="center" vertical="top"/>
    </xf>
    <xf numFmtId="9" fontId="46" fillId="0" borderId="2" xfId="1" applyFont="1" applyBorder="1" applyAlignment="1">
      <alignment horizontal="center" vertical="center"/>
    </xf>
    <xf numFmtId="9" fontId="46" fillId="0" borderId="0" xfId="1" applyFont="1" applyBorder="1" applyAlignment="1">
      <alignment horizontal="center" vertical="center"/>
    </xf>
    <xf numFmtId="9" fontId="8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" fontId="46" fillId="0" borderId="2" xfId="0" applyNumberFormat="1" applyFont="1" applyBorder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9" fontId="6" fillId="0" borderId="0" xfId="0" applyNumberFormat="1" applyFont="1" applyAlignment="1">
      <alignment horizontal="center" vertical="top"/>
    </xf>
    <xf numFmtId="1" fontId="46" fillId="0" borderId="0" xfId="1" applyNumberFormat="1" applyFont="1" applyBorder="1" applyAlignment="1">
      <alignment horizontal="center" vertical="center"/>
    </xf>
    <xf numFmtId="1" fontId="32" fillId="3" borderId="0" xfId="0" applyNumberFormat="1" applyFont="1" applyFill="1" applyAlignment="1">
      <alignment horizontal="center" vertical="center"/>
    </xf>
    <xf numFmtId="0" fontId="32" fillId="3" borderId="0" xfId="0" applyFont="1" applyFill="1" applyAlignment="1">
      <alignment horizontal="center" vertical="center"/>
    </xf>
    <xf numFmtId="0" fontId="45" fillId="3" borderId="0" xfId="0" applyFont="1" applyFill="1" applyAlignment="1">
      <alignment horizontal="center" vertical="center"/>
    </xf>
    <xf numFmtId="0" fontId="30" fillId="0" borderId="0" xfId="0" applyFont="1" applyAlignment="1">
      <alignment horizontal="center" wrapText="1"/>
    </xf>
    <xf numFmtId="0" fontId="23" fillId="3" borderId="0" xfId="3" applyFont="1" applyFill="1" applyBorder="1" applyAlignment="1" applyProtection="1">
      <alignment horizontal="left" vertical="center"/>
      <protection hidden="1"/>
    </xf>
    <xf numFmtId="0" fontId="25" fillId="0" borderId="0" xfId="3" applyFont="1" applyFill="1" applyBorder="1" applyAlignment="1" applyProtection="1">
      <alignment horizontal="center" vertical="center" wrapText="1"/>
      <protection hidden="1"/>
    </xf>
    <xf numFmtId="0" fontId="40" fillId="19" borderId="0" xfId="0" applyFont="1" applyFill="1" applyAlignment="1">
      <alignment vertical="center"/>
    </xf>
    <xf numFmtId="0" fontId="0" fillId="19" borderId="0" xfId="0" applyFill="1" applyAlignment="1">
      <alignment vertical="center"/>
    </xf>
    <xf numFmtId="0" fontId="52" fillId="19" borderId="0" xfId="0" applyFont="1" applyFill="1" applyAlignment="1">
      <alignment horizontal="left" vertical="center"/>
    </xf>
    <xf numFmtId="0" fontId="53" fillId="19" borderId="0" xfId="0" applyFont="1" applyFill="1" applyAlignment="1">
      <alignment horizontal="right" vertical="center"/>
    </xf>
    <xf numFmtId="0" fontId="54" fillId="19" borderId="0" xfId="0" applyFont="1" applyFill="1" applyAlignment="1">
      <alignment vertical="center"/>
    </xf>
    <xf numFmtId="0" fontId="55" fillId="19" borderId="0" xfId="0" applyFont="1" applyFill="1" applyAlignment="1">
      <alignment vertical="center"/>
    </xf>
    <xf numFmtId="0" fontId="56" fillId="19" borderId="0" xfId="0" applyFont="1" applyFill="1" applyAlignment="1">
      <alignment horizontal="right" vertical="center"/>
    </xf>
    <xf numFmtId="0" fontId="9" fillId="20" borderId="0" xfId="0" applyFont="1" applyFill="1" applyAlignment="1">
      <alignment horizontal="left" vertical="center"/>
    </xf>
    <xf numFmtId="0" fontId="51" fillId="20" borderId="1" xfId="0" applyFont="1" applyFill="1" applyBorder="1" applyAlignment="1">
      <alignment vertical="center"/>
    </xf>
    <xf numFmtId="0" fontId="57" fillId="19" borderId="0" xfId="0" applyFont="1" applyFill="1" applyAlignment="1">
      <alignment vertical="center"/>
    </xf>
  </cellXfs>
  <cellStyles count="4">
    <cellStyle name="Comma" xfId="2" builtinId="3"/>
    <cellStyle name="Explanatory Text" xfId="3" builtinId="53"/>
    <cellStyle name="Normal" xfId="0" builtinId="0"/>
    <cellStyle name="Percent" xfId="1" builtinId="5"/>
  </cellStyles>
  <dxfs count="89"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5C6769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5C6769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5C6769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5C6769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5C6769"/>
      </font>
    </dxf>
    <dxf>
      <font>
        <b/>
        <i/>
        <color rgb="FF01B1A3"/>
      </font>
    </dxf>
    <dxf>
      <font>
        <b/>
        <i/>
        <color rgb="FFFB5A56"/>
      </font>
    </dxf>
    <dxf>
      <font>
        <b/>
        <i/>
        <color rgb="FF5C6769"/>
      </font>
    </dxf>
    <dxf>
      <font>
        <b/>
        <i/>
        <color rgb="FFFB5A56"/>
      </font>
    </dxf>
    <dxf>
      <font>
        <b/>
        <i/>
        <color rgb="FF01B1A3"/>
      </font>
    </dxf>
    <dxf>
      <font>
        <b/>
        <i/>
        <color rgb="FF5C6769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  <dxf>
      <font>
        <color rgb="FFFB5A56"/>
      </font>
    </dxf>
    <dxf>
      <font>
        <color rgb="FF01B1A3"/>
      </font>
    </dxf>
    <dxf>
      <font>
        <b/>
        <i/>
        <color theme="1" tint="0.499984740745262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66CC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B5A56"/>
      <color rgb="FF01B1A3"/>
      <color rgb="FF5C6769"/>
      <color rgb="FF5D90AF"/>
      <color rgb="FF435361"/>
      <color rgb="FFFFFFCC"/>
      <color rgb="FF4F83BD"/>
      <color rgb="FF499AC3"/>
      <color rgb="FFE2E2E2"/>
      <color rgb="FFF4E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 w="25400">
              <a:solidFill>
                <a:srgbClr val="4F83BD"/>
              </a:solidFill>
            </a:ln>
            <a:effectLst/>
          </c:spPr>
          <c:marker>
            <c:symbol val="none"/>
          </c:marker>
          <c:val>
            <c:numRef>
              <c:f>Data!$F$6:$Q$6</c:f>
              <c:numCache>
                <c:formatCode>0</c:formatCode>
                <c:ptCount val="12"/>
                <c:pt idx="0">
                  <c:v>4915</c:v>
                </c:pt>
                <c:pt idx="1">
                  <c:v>4740</c:v>
                </c:pt>
                <c:pt idx="2">
                  <c:v>4100</c:v>
                </c:pt>
                <c:pt idx="3">
                  <c:v>4518</c:v>
                </c:pt>
                <c:pt idx="4">
                  <c:v>5200</c:v>
                </c:pt>
                <c:pt idx="5">
                  <c:v>5300</c:v>
                </c:pt>
                <c:pt idx="6">
                  <c:v>5000</c:v>
                </c:pt>
                <c:pt idx="7">
                  <c:v>4926</c:v>
                </c:pt>
                <c:pt idx="8">
                  <c:v>3592</c:v>
                </c:pt>
                <c:pt idx="9">
                  <c:v>3014</c:v>
                </c:pt>
                <c:pt idx="10">
                  <c:v>3280</c:v>
                </c:pt>
                <c:pt idx="11">
                  <c:v>4063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1BD-439E-B39D-9EB695AFF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4F83BD"/>
              </a:solidFill>
              <a:round/>
            </a:ln>
            <a:effectLst/>
          </c:spPr>
          <c:marker>
            <c:symbol val="none"/>
          </c:marker>
          <c:val>
            <c:numRef>
              <c:f>Data!$F$17:$Q$17</c:f>
              <c:numCache>
                <c:formatCode>0</c:formatCode>
                <c:ptCount val="12"/>
                <c:pt idx="0">
                  <c:v>2196</c:v>
                </c:pt>
                <c:pt idx="1">
                  <c:v>1867</c:v>
                </c:pt>
                <c:pt idx="2">
                  <c:v>1615</c:v>
                </c:pt>
                <c:pt idx="3">
                  <c:v>2093</c:v>
                </c:pt>
                <c:pt idx="4">
                  <c:v>2929</c:v>
                </c:pt>
                <c:pt idx="5">
                  <c:v>2984</c:v>
                </c:pt>
                <c:pt idx="6">
                  <c:v>2568</c:v>
                </c:pt>
                <c:pt idx="7">
                  <c:v>2169</c:v>
                </c:pt>
                <c:pt idx="8">
                  <c:v>1152</c:v>
                </c:pt>
                <c:pt idx="9">
                  <c:v>137</c:v>
                </c:pt>
                <c:pt idx="10">
                  <c:v>755</c:v>
                </c:pt>
                <c:pt idx="11">
                  <c:v>1318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7BA-4ADC-B15B-CA1D36721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4F83BD"/>
              </a:solidFill>
              <a:round/>
            </a:ln>
            <a:effectLst/>
          </c:spPr>
          <c:marker>
            <c:symbol val="none"/>
          </c:marker>
          <c:val>
            <c:numRef>
              <c:f>Data!$F$11:$Q$11</c:f>
              <c:numCache>
                <c:formatCode>0</c:formatCode>
                <c:ptCount val="12"/>
                <c:pt idx="0">
                  <c:v>43</c:v>
                </c:pt>
                <c:pt idx="1">
                  <c:v>56</c:v>
                </c:pt>
                <c:pt idx="2">
                  <c:v>41</c:v>
                </c:pt>
                <c:pt idx="3">
                  <c:v>45</c:v>
                </c:pt>
                <c:pt idx="4">
                  <c:v>62</c:v>
                </c:pt>
                <c:pt idx="5">
                  <c:v>74</c:v>
                </c:pt>
                <c:pt idx="6">
                  <c:v>56</c:v>
                </c:pt>
                <c:pt idx="7">
                  <c:v>62</c:v>
                </c:pt>
                <c:pt idx="8">
                  <c:v>63</c:v>
                </c:pt>
                <c:pt idx="9">
                  <c:v>62</c:v>
                </c:pt>
                <c:pt idx="10">
                  <c:v>65</c:v>
                </c:pt>
                <c:pt idx="11">
                  <c:v>40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1F4-4337-B531-AD606AE64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4F83BD"/>
              </a:solidFill>
              <a:round/>
            </a:ln>
            <a:effectLst/>
          </c:spPr>
          <c:marker>
            <c:symbol val="none"/>
          </c:marker>
          <c:val>
            <c:numRef>
              <c:f>Data!$F$23:$Q$23</c:f>
              <c:numCache>
                <c:formatCode>0%</c:formatCode>
                <c:ptCount val="12"/>
                <c:pt idx="0">
                  <c:v>0.11621621621621622</c:v>
                </c:pt>
                <c:pt idx="1">
                  <c:v>0.15864022662889518</c:v>
                </c:pt>
                <c:pt idx="2">
                  <c:v>0.10904255319148937</c:v>
                </c:pt>
                <c:pt idx="3">
                  <c:v>0.11392405063291139</c:v>
                </c:pt>
                <c:pt idx="4">
                  <c:v>0.18075801749271136</c:v>
                </c:pt>
                <c:pt idx="5">
                  <c:v>0.21511627906976744</c:v>
                </c:pt>
                <c:pt idx="6">
                  <c:v>0.14177215189873418</c:v>
                </c:pt>
                <c:pt idx="7">
                  <c:v>0.15736040609137056</c:v>
                </c:pt>
                <c:pt idx="8">
                  <c:v>0.18155619596541786</c:v>
                </c:pt>
                <c:pt idx="9">
                  <c:v>0.15617128463476071</c:v>
                </c:pt>
                <c:pt idx="10">
                  <c:v>0.16795865633074936</c:v>
                </c:pt>
                <c:pt idx="11">
                  <c:v>0.10282776349614396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BF-4EDF-9914-49A0279D7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4F83BD"/>
              </a:solidFill>
              <a:round/>
            </a:ln>
            <a:effectLst/>
          </c:spPr>
          <c:marker>
            <c:symbol val="none"/>
          </c:marker>
          <c:val>
            <c:numRef>
              <c:f>Data!$F$10:$Q$10</c:f>
              <c:numCache>
                <c:formatCode>0</c:formatCode>
                <c:ptCount val="12"/>
                <c:pt idx="0">
                  <c:v>28</c:v>
                </c:pt>
                <c:pt idx="1">
                  <c:v>30</c:v>
                </c:pt>
                <c:pt idx="2">
                  <c:v>35</c:v>
                </c:pt>
                <c:pt idx="3">
                  <c:v>47</c:v>
                </c:pt>
                <c:pt idx="4">
                  <c:v>37</c:v>
                </c:pt>
                <c:pt idx="5">
                  <c:v>27</c:v>
                </c:pt>
                <c:pt idx="6">
                  <c:v>44</c:v>
                </c:pt>
                <c:pt idx="7">
                  <c:v>24</c:v>
                </c:pt>
                <c:pt idx="8">
                  <c:v>37</c:v>
                </c:pt>
                <c:pt idx="9">
                  <c:v>39</c:v>
                </c:pt>
                <c:pt idx="10">
                  <c:v>22</c:v>
                </c:pt>
                <c:pt idx="11">
                  <c:v>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83-41F4-AE5F-892ECE753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4F83BD"/>
              </a:solidFill>
              <a:round/>
            </a:ln>
            <a:effectLst/>
          </c:spPr>
          <c:marker>
            <c:symbol val="none"/>
          </c:marker>
          <c:val>
            <c:numRef>
              <c:f>Data!$F$14:$Q$14</c:f>
              <c:numCache>
                <c:formatCode>0</c:formatCode>
                <c:ptCount val="12"/>
                <c:pt idx="0">
                  <c:v>114.30232558139535</c:v>
                </c:pt>
                <c:pt idx="1">
                  <c:v>84.642857142857139</c:v>
                </c:pt>
                <c:pt idx="2">
                  <c:v>100</c:v>
                </c:pt>
                <c:pt idx="3">
                  <c:v>100.4</c:v>
                </c:pt>
                <c:pt idx="4">
                  <c:v>83.870967741935488</c:v>
                </c:pt>
                <c:pt idx="5">
                  <c:v>71.621621621621628</c:v>
                </c:pt>
                <c:pt idx="6">
                  <c:v>89.285714285714292</c:v>
                </c:pt>
                <c:pt idx="7">
                  <c:v>79.451612903225808</c:v>
                </c:pt>
                <c:pt idx="8">
                  <c:v>57.015873015873019</c:v>
                </c:pt>
                <c:pt idx="9">
                  <c:v>48.612903225806448</c:v>
                </c:pt>
                <c:pt idx="10">
                  <c:v>50.46153846153846</c:v>
                </c:pt>
                <c:pt idx="11">
                  <c:v>101.575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779-482C-9A72-14BC1E022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 w="25400">
              <a:solidFill>
                <a:srgbClr val="4F83BD"/>
              </a:solidFill>
            </a:ln>
            <a:effectLst/>
          </c:spPr>
          <c:marker>
            <c:symbol val="none"/>
          </c:marker>
          <c:val>
            <c:numRef>
              <c:f>Data!$F$13:$Q$13</c:f>
              <c:numCache>
                <c:formatCode>0</c:formatCode>
                <c:ptCount val="12"/>
                <c:pt idx="0">
                  <c:v>175.53571428571428</c:v>
                </c:pt>
                <c:pt idx="1">
                  <c:v>158</c:v>
                </c:pt>
                <c:pt idx="2">
                  <c:v>117.14285714285714</c:v>
                </c:pt>
                <c:pt idx="3">
                  <c:v>96.127659574468083</c:v>
                </c:pt>
                <c:pt idx="4">
                  <c:v>140.54054054054055</c:v>
                </c:pt>
                <c:pt idx="5">
                  <c:v>196.2962962962963</c:v>
                </c:pt>
                <c:pt idx="6">
                  <c:v>113.63636363636364</c:v>
                </c:pt>
                <c:pt idx="7">
                  <c:v>205.25</c:v>
                </c:pt>
                <c:pt idx="8">
                  <c:v>97.081081081081081</c:v>
                </c:pt>
                <c:pt idx="9">
                  <c:v>77.282051282051285</c:v>
                </c:pt>
                <c:pt idx="10">
                  <c:v>149.09090909090909</c:v>
                </c:pt>
                <c:pt idx="11">
                  <c:v>184.68181818181819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5E2-44B9-AD37-60BC705F5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7434345226642"/>
          <c:y val="0.26518312907247538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 w="25400">
              <a:solidFill>
                <a:srgbClr val="4F83BD"/>
              </a:solidFill>
            </a:ln>
            <a:effectLst/>
          </c:spPr>
          <c:marker>
            <c:symbol val="none"/>
          </c:marker>
          <c:val>
            <c:numRef>
              <c:f>Data!$F$18:$Q$18</c:f>
              <c:numCache>
                <c:formatCode>0%</c:formatCode>
                <c:ptCount val="12"/>
                <c:pt idx="0">
                  <c:v>0.44679552390640898</c:v>
                </c:pt>
                <c:pt idx="1">
                  <c:v>0.3938818565400844</c:v>
                </c:pt>
                <c:pt idx="2">
                  <c:v>0.39390243902439026</c:v>
                </c:pt>
                <c:pt idx="3">
                  <c:v>0.4632580787959274</c:v>
                </c:pt>
                <c:pt idx="4">
                  <c:v>0.56326923076923074</c:v>
                </c:pt>
                <c:pt idx="5">
                  <c:v>0.56301886792452827</c:v>
                </c:pt>
                <c:pt idx="6">
                  <c:v>0.51359999999999995</c:v>
                </c:pt>
                <c:pt idx="7">
                  <c:v>0.44031668696711329</c:v>
                </c:pt>
                <c:pt idx="8">
                  <c:v>0.32071269487750559</c:v>
                </c:pt>
                <c:pt idx="9">
                  <c:v>4.5454545454545456E-2</c:v>
                </c:pt>
                <c:pt idx="10">
                  <c:v>0.2301829268292683</c:v>
                </c:pt>
                <c:pt idx="11">
                  <c:v>0.32439084420379033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B03-49D8-8B27-14CF377F0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05927002663E-2"/>
          <c:y val="7.7149880957685268E-2"/>
          <c:w val="0.82704402515723274"/>
          <c:h val="0.86594033742539267"/>
        </c:manualLayout>
      </c:layout>
      <c:lineChart>
        <c:grouping val="standard"/>
        <c:varyColors val="0"/>
        <c:ser>
          <c:idx val="1"/>
          <c:order val="0"/>
          <c:spPr>
            <a:ln w="25400">
              <a:solidFill>
                <a:srgbClr val="4F83BD"/>
              </a:solidFill>
            </a:ln>
            <a:effectLst/>
          </c:spPr>
          <c:marker>
            <c:symbol val="none"/>
          </c:marker>
          <c:val>
            <c:numRef>
              <c:f>Data!$F$9:$Q$9</c:f>
              <c:numCache>
                <c:formatCode>0.0%</c:formatCode>
                <c:ptCount val="12"/>
                <c:pt idx="0">
                  <c:v>0.03</c:v>
                </c:pt>
                <c:pt idx="1">
                  <c:v>-3.5605289928789419E-2</c:v>
                </c:pt>
                <c:pt idx="2">
                  <c:v>-0.13502109704641352</c:v>
                </c:pt>
                <c:pt idx="3">
                  <c:v>0.10195121951219521</c:v>
                </c:pt>
                <c:pt idx="4">
                  <c:v>0.15095174856131033</c:v>
                </c:pt>
                <c:pt idx="5">
                  <c:v>1.9230769230769162E-2</c:v>
                </c:pt>
                <c:pt idx="6">
                  <c:v>-5.6603773584905648E-2</c:v>
                </c:pt>
                <c:pt idx="7">
                  <c:v>-1.4800000000000035E-2</c:v>
                </c:pt>
                <c:pt idx="8">
                  <c:v>-0.27080795777507105</c:v>
                </c:pt>
                <c:pt idx="9">
                  <c:v>-0.16091314031180404</c:v>
                </c:pt>
                <c:pt idx="10">
                  <c:v>8.8254810882548052E-2</c:v>
                </c:pt>
                <c:pt idx="11">
                  <c:v>0.238719512195122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7F7-431D-8552-E19B371B4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77987421383642E-2"/>
          <c:y val="0.17556003174021853"/>
          <c:w val="0.82704402515723274"/>
          <c:h val="0.69372215101019341"/>
        </c:manualLayout>
      </c:layout>
      <c:lineChart>
        <c:grouping val="standard"/>
        <c:varyColors val="0"/>
        <c:ser>
          <c:idx val="1"/>
          <c:order val="0"/>
          <c:spPr>
            <a:ln w="25400">
              <a:solidFill>
                <a:srgbClr val="4F83BD"/>
              </a:solidFill>
            </a:ln>
            <a:effectLst/>
          </c:spPr>
          <c:marker>
            <c:symbol val="none"/>
          </c:marker>
          <c:val>
            <c:numRef>
              <c:f>Data!$F$12:$Q$12</c:f>
              <c:numCache>
                <c:formatCode>0</c:formatCode>
                <c:ptCount val="12"/>
                <c:pt idx="0">
                  <c:v>40</c:v>
                </c:pt>
                <c:pt idx="1">
                  <c:v>49</c:v>
                </c:pt>
                <c:pt idx="2">
                  <c:v>44</c:v>
                </c:pt>
                <c:pt idx="3">
                  <c:v>44</c:v>
                </c:pt>
                <c:pt idx="4">
                  <c:v>70</c:v>
                </c:pt>
                <c:pt idx="5">
                  <c:v>76</c:v>
                </c:pt>
                <c:pt idx="6">
                  <c:v>72</c:v>
                </c:pt>
                <c:pt idx="7">
                  <c:v>65</c:v>
                </c:pt>
                <c:pt idx="8">
                  <c:v>75</c:v>
                </c:pt>
                <c:pt idx="9">
                  <c:v>41</c:v>
                </c:pt>
                <c:pt idx="10">
                  <c:v>75</c:v>
                </c:pt>
                <c:pt idx="11">
                  <c:v>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5C4-47B2-82EE-50BBE901A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55680"/>
        <c:axId val="564188064"/>
      </c:lineChart>
      <c:catAx>
        <c:axId val="45765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64188064"/>
        <c:crosses val="autoZero"/>
        <c:auto val="1"/>
        <c:lblAlgn val="ctr"/>
        <c:lblOffset val="100"/>
        <c:noMultiLvlLbl val="0"/>
      </c:catAx>
      <c:valAx>
        <c:axId val="56418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7655680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1146222114649459E-2"/>
          <c:y val="2.75E-2"/>
          <c:w val="0.93271656599884267"/>
          <c:h val="0.88749999999999996"/>
        </c:manualLayout>
      </c:layout>
      <c:areaChart>
        <c:grouping val="standard"/>
        <c:varyColors val="0"/>
        <c:ser>
          <c:idx val="0"/>
          <c:order val="0"/>
          <c:tx>
            <c:v>Section4</c:v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val>
            <c:numRef>
              <c:f>ChartsDataSheet!$CNU$2:$CNU$6</c:f>
              <c:numCache>
                <c:formatCode>General</c:formatCode>
                <c:ptCount val="5"/>
                <c:pt idx="0">
                  <c:v>370</c:v>
                </c:pt>
                <c:pt idx="1">
                  <c:v>370</c:v>
                </c:pt>
                <c:pt idx="2">
                  <c:v>325</c:v>
                </c:pt>
                <c:pt idx="3">
                  <c:v>282.5</c:v>
                </c:pt>
                <c:pt idx="4">
                  <c:v>206.5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A1-4CD9-896F-296FB293228A}"/>
            </c:ext>
          </c:extLst>
        </c:ser>
        <c:ser>
          <c:idx val="1"/>
          <c:order val="1"/>
          <c:tx>
            <c:v>Section3</c:v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ChartsDataSheet!$CNU$2:$CNU$5</c:f>
              <c:numCache>
                <c:formatCode>General</c:formatCode>
                <c:ptCount val="4"/>
                <c:pt idx="0">
                  <c:v>370</c:v>
                </c:pt>
                <c:pt idx="1">
                  <c:v>370</c:v>
                </c:pt>
                <c:pt idx="2">
                  <c:v>325</c:v>
                </c:pt>
                <c:pt idx="3">
                  <c:v>282.5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A1-4CD9-896F-296FB293228A}"/>
            </c:ext>
          </c:extLst>
        </c:ser>
        <c:ser>
          <c:idx val="2"/>
          <c:order val="2"/>
          <c:tx>
            <c:v>Section2</c:v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ChartsDataSheet!$CNU$2:$CNU$4</c:f>
              <c:numCache>
                <c:formatCode>General</c:formatCode>
                <c:ptCount val="3"/>
                <c:pt idx="0">
                  <c:v>370</c:v>
                </c:pt>
                <c:pt idx="1">
                  <c:v>370</c:v>
                </c:pt>
                <c:pt idx="2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A1-4CD9-896F-296FB293228A}"/>
            </c:ext>
          </c:extLst>
        </c:ser>
        <c:ser>
          <c:idx val="3"/>
          <c:order val="3"/>
          <c:tx>
            <c:v>Section1</c:v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ChartsDataSheet!$CNU$2:$CNU$3</c:f>
              <c:numCache>
                <c:formatCode>General</c:formatCode>
                <c:ptCount val="2"/>
                <c:pt idx="0">
                  <c:v>370</c:v>
                </c:pt>
                <c:pt idx="1">
                  <c:v>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A1-4CD9-896F-296FB293228A}"/>
            </c:ext>
          </c:extLst>
        </c:ser>
        <c:ser>
          <c:idx val="4"/>
          <c:order val="4"/>
          <c:tx>
            <c:v>Low</c:v>
          </c:tx>
          <c:spPr>
            <a:solidFill>
              <a:srgbClr val="FFFFFF"/>
            </a:solidFill>
            <a:ln w="25400">
              <a:noFill/>
            </a:ln>
          </c:spPr>
          <c:val>
            <c:numRef>
              <c:f>ChartsDataSheet!$CNT$2:$CNT$6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45</c:v>
                </c:pt>
                <c:pt idx="3">
                  <c:v>87.5</c:v>
                </c:pt>
                <c:pt idx="4">
                  <c:v>163.5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A1-4CD9-896F-296FB2932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132959"/>
        <c:axId val="1338557375"/>
      </c:areaChart>
      <c:scatterChart>
        <c:scatterStyle val="lineMarker"/>
        <c:varyColors val="0"/>
        <c:ser>
          <c:idx val="5"/>
          <c:order val="5"/>
          <c:tx>
            <c:v>BUBBLE</c:v>
          </c:tx>
          <c:spPr>
            <a:ln w="28575">
              <a:noFill/>
            </a:ln>
            <a:effectLst/>
          </c:spPr>
          <c:marker>
            <c:symbol val="circle"/>
            <c:size val="27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787CB31-1DEE-48FB-8B63-8AD0CA6680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A1-4CD9-896F-296FB2932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ChartsDataSheet!$CNQ$7</c:f>
              <c:numCache>
                <c:formatCode>General</c:formatCode>
                <c:ptCount val="1"/>
                <c:pt idx="0">
                  <c:v>5.31</c:v>
                </c:pt>
              </c:numCache>
            </c:numRef>
          </c:xVal>
          <c:yVal>
            <c:numRef>
              <c:f>ChartsDataSheet!$CNS$7</c:f>
              <c:numCache>
                <c:formatCode>General</c:formatCode>
                <c:ptCount val="1"/>
                <c:pt idx="0">
                  <c:v>185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ChartsDataSheet!$CNR$7</c15:f>
                <c15:dlblRangeCache>
                  <c:ptCount val="1"/>
                  <c:pt idx="0">
                    <c:v>43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9A1-4CD9-896F-296FB293228A}"/>
            </c:ext>
          </c:extLst>
        </c:ser>
        <c:ser>
          <c:idx val="6"/>
          <c:order val="6"/>
          <c:tx>
            <c:v>Line_Low</c:v>
          </c:tx>
          <c:spPr>
            <a:ln w="25400">
              <a:solidFill>
                <a:srgbClr val="5C6769"/>
              </a:solidFill>
            </a:ln>
          </c:spPr>
          <c:marker>
            <c:symbol val="none"/>
          </c:marker>
          <c:xVal>
            <c:numRef>
              <c:f>ChartsDataSheet!$CNQ$2:$CNQ$6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ChartsDataSheet!$CNT$2:$CNT$6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45</c:v>
                </c:pt>
                <c:pt idx="3">
                  <c:v>87.5</c:v>
                </c:pt>
                <c:pt idx="4">
                  <c:v>163.5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9A1-4CD9-896F-296FB293228A}"/>
            </c:ext>
          </c:extLst>
        </c:ser>
        <c:ser>
          <c:idx val="7"/>
          <c:order val="7"/>
          <c:tx>
            <c:v>Line_High</c:v>
          </c:tx>
          <c:spPr>
            <a:ln w="22225">
              <a:solidFill>
                <a:srgbClr val="5C6769"/>
              </a:solidFill>
            </a:ln>
          </c:spPr>
          <c:marker>
            <c:symbol val="none"/>
          </c:marker>
          <c:xVal>
            <c:numRef>
              <c:f>ChartsDataSheet!$CNQ$2:$CNQ$6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ChartsDataSheet!$CNU$2:$CNU$6</c:f>
              <c:numCache>
                <c:formatCode>General</c:formatCode>
                <c:ptCount val="5"/>
                <c:pt idx="0">
                  <c:v>370</c:v>
                </c:pt>
                <c:pt idx="1">
                  <c:v>370</c:v>
                </c:pt>
                <c:pt idx="2">
                  <c:v>325</c:v>
                </c:pt>
                <c:pt idx="3">
                  <c:v>282.5</c:v>
                </c:pt>
                <c:pt idx="4">
                  <c:v>206.5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9A1-4CD9-896F-296FB293228A}"/>
            </c:ext>
          </c:extLst>
        </c:ser>
        <c:ser>
          <c:idx val="8"/>
          <c:order val="8"/>
          <c:tx>
            <c:v>Line_Labels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1BC2A52-2354-4593-B8F4-E6F83E89DF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A1-4CD9-896F-296FB2932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473FD1-8063-4D55-9F77-76A1D17F9C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A1-4CD9-896F-296FB2932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0B8274-3C0B-4686-AA3B-A6CD39C6A4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A1-4CD9-896F-296FB2932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48A016-0D50-4D5C-98C8-242E97A087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A1-4CD9-896F-296FB293228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ChartsDataSheet!$CNV$3:$CNV$6</c:f>
              <c:numCache>
                <c:formatCode>General</c:formatCode>
                <c:ptCount val="4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</c:numCache>
            </c:numRef>
          </c:xVal>
          <c:yVal>
            <c:numRef>
              <c:f>ChartsDataSheet!$CNW$3:$CNW$6</c:f>
              <c:numCache>
                <c:formatCode>General</c:formatCode>
                <c:ptCount val="4"/>
                <c:pt idx="0">
                  <c:v>173.9</c:v>
                </c:pt>
                <c:pt idx="1">
                  <c:v>173.9</c:v>
                </c:pt>
                <c:pt idx="2">
                  <c:v>173.9</c:v>
                </c:pt>
                <c:pt idx="3">
                  <c:v>173.9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ChartsDataSheet!$CNR$3:$CNR$6</c15:f>
                <c15:dlblRangeCache>
                  <c:ptCount val="4"/>
                  <c:pt idx="0">
                    <c:v>Inquiries 370</c:v>
                  </c:pt>
                  <c:pt idx="1">
                    <c:v>Lead 280</c:v>
                  </c:pt>
                  <c:pt idx="2">
                    <c:v>Opportunity 195</c:v>
                  </c:pt>
                  <c:pt idx="3">
                    <c:v>Sales 43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09A1-4CD9-896F-296FB293228A}"/>
            </c:ext>
          </c:extLst>
        </c:ser>
        <c:ser>
          <c:idx val="9"/>
          <c:order val="9"/>
          <c:tx>
            <c:v>Line_Percentages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18B12F-5F89-42B3-83A3-7608618A76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A1-4CD9-896F-296FB2932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0084D8-75CD-404F-99EE-CCA182827D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A1-4CD9-896F-296FB2932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000215-D183-458A-B122-0A7DA1B6CD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A1-4CD9-896F-296FB2932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C606B5-3D06-4978-81E7-45C56E7C25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A1-4CD9-896F-296FB2932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ChartsDataSheet!$CNV$3:$CNV$6</c:f>
              <c:numCache>
                <c:formatCode>General</c:formatCode>
                <c:ptCount val="4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</c:numCache>
            </c:numRef>
          </c:xVal>
          <c:yVal>
            <c:numRef>
              <c:f>ChartsDataSheet!$CNX$3:$CNX$6</c:f>
              <c:numCache>
                <c:formatCode>General</c:formatCode>
                <c:ptCount val="4"/>
                <c:pt idx="0">
                  <c:v>197.95</c:v>
                </c:pt>
                <c:pt idx="1">
                  <c:v>197.95</c:v>
                </c:pt>
                <c:pt idx="2">
                  <c:v>197.95</c:v>
                </c:pt>
                <c:pt idx="3">
                  <c:v>197.95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ChartsDataSheet!$CNY$3:$CNY$6</c15:f>
                <c15:dlblRangeCache>
                  <c:ptCount val="4"/>
                  <c:pt idx="0">
                    <c:v>100%</c:v>
                  </c:pt>
                  <c:pt idx="1">
                    <c:v>76%</c:v>
                  </c:pt>
                  <c:pt idx="2">
                    <c:v>53%</c:v>
                  </c:pt>
                  <c:pt idx="3">
                    <c:v>12%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09A1-4CD9-896F-296FB2932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132959"/>
        <c:axId val="1338557375"/>
      </c:scatterChart>
      <c:catAx>
        <c:axId val="1338132959"/>
        <c:scaling>
          <c:orientation val="minMax"/>
        </c:scaling>
        <c:delete val="1"/>
        <c:axPos val="b"/>
        <c:majorTickMark val="out"/>
        <c:minorTickMark val="none"/>
        <c:tickLblPos val="nextTo"/>
        <c:crossAx val="1338557375"/>
        <c:crosses val="autoZero"/>
        <c:auto val="1"/>
        <c:lblAlgn val="ctr"/>
        <c:lblOffset val="100"/>
        <c:noMultiLvlLbl val="0"/>
      </c:catAx>
      <c:valAx>
        <c:axId val="133855737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38132959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800" b="1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emf"/><Relationship Id="rId18" Type="http://schemas.openxmlformats.org/officeDocument/2006/relationships/image" Target="../media/image7.emf"/><Relationship Id="rId3" Type="http://schemas.openxmlformats.org/officeDocument/2006/relationships/chart" Target="../charts/chart3.xml"/><Relationship Id="rId21" Type="http://schemas.openxmlformats.org/officeDocument/2006/relationships/image" Target="../media/image10.emf"/><Relationship Id="rId7" Type="http://schemas.openxmlformats.org/officeDocument/2006/relationships/chart" Target="../charts/chart7.xml"/><Relationship Id="rId12" Type="http://schemas.openxmlformats.org/officeDocument/2006/relationships/image" Target="../media/image1.emf"/><Relationship Id="rId17" Type="http://schemas.openxmlformats.org/officeDocument/2006/relationships/image" Target="../media/image6.emf"/><Relationship Id="rId2" Type="http://schemas.openxmlformats.org/officeDocument/2006/relationships/chart" Target="../charts/chart2.xml"/><Relationship Id="rId16" Type="http://schemas.openxmlformats.org/officeDocument/2006/relationships/image" Target="../media/image5.emf"/><Relationship Id="rId20" Type="http://schemas.openxmlformats.org/officeDocument/2006/relationships/image" Target="../media/image9.emf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emf"/><Relationship Id="rId10" Type="http://schemas.openxmlformats.org/officeDocument/2006/relationships/chart" Target="../charts/chart10.xml"/><Relationship Id="rId19" Type="http://schemas.openxmlformats.org/officeDocument/2006/relationships/image" Target="../media/image8.emf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10" Type="http://schemas.openxmlformats.org/officeDocument/2006/relationships/image" Target="../media/image20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22860</xdr:colOff>
      <xdr:row>12</xdr:row>
      <xdr:rowOff>198120</xdr:rowOff>
    </xdr:from>
    <xdr:to>
      <xdr:col>12</xdr:col>
      <xdr:colOff>144782</xdr:colOff>
      <xdr:row>14</xdr:row>
      <xdr:rowOff>7493</xdr:rowOff>
    </xdr:to>
    <xdr:sp macro="" textlink="">
      <xdr:nvSpPr>
        <xdr:cNvPr id="3412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fr-CA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220980</xdr:colOff>
      <xdr:row>18</xdr:row>
      <xdr:rowOff>190500</xdr:rowOff>
    </xdr:from>
    <xdr:to>
      <xdr:col>19</xdr:col>
      <xdr:colOff>534230</xdr:colOff>
      <xdr:row>19</xdr:row>
      <xdr:rowOff>207299</xdr:rowOff>
    </xdr:to>
    <xdr:sp macro="" textlink="">
      <xdr:nvSpPr>
        <xdr:cNvPr id="3413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fr-CA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Average Salary</a:t>
          </a:r>
        </a:p>
      </xdr:txBody>
    </xdr:sp>
    <xdr:clientData fLocksWithSheet="0"/>
  </xdr:twoCellAnchor>
  <xdr:twoCellAnchor editAs="oneCell">
    <xdr:from>
      <xdr:col>11</xdr:col>
      <xdr:colOff>38100</xdr:colOff>
      <xdr:row>12</xdr:row>
      <xdr:rowOff>330200</xdr:rowOff>
    </xdr:from>
    <xdr:to>
      <xdr:col>12</xdr:col>
      <xdr:colOff>241302</xdr:colOff>
      <xdr:row>13</xdr:row>
      <xdr:rowOff>159258</xdr:rowOff>
    </xdr:to>
    <xdr:sp macro="" textlink="">
      <xdr:nvSpPr>
        <xdr:cNvPr id="10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368300</xdr:colOff>
      <xdr:row>18</xdr:row>
      <xdr:rowOff>317500</xdr:rowOff>
    </xdr:from>
    <xdr:to>
      <xdr:col>20</xdr:col>
      <xdr:colOff>59191</xdr:colOff>
      <xdr:row>19</xdr:row>
      <xdr:rowOff>159039</xdr:rowOff>
    </xdr:to>
    <xdr:sp macro="" textlink="">
      <xdr:nvSpPr>
        <xdr:cNvPr id="12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Average Salary</a:t>
          </a:r>
        </a:p>
      </xdr:txBody>
    </xdr:sp>
    <xdr:clientData fLocksWithSheet="0"/>
  </xdr:twoCellAnchor>
  <xdr:twoCellAnchor editAs="oneCell">
    <xdr:from>
      <xdr:col>11</xdr:col>
      <xdr:colOff>28575</xdr:colOff>
      <xdr:row>12</xdr:row>
      <xdr:rowOff>247650</xdr:rowOff>
    </xdr:from>
    <xdr:to>
      <xdr:col>12</xdr:col>
      <xdr:colOff>180977</xdr:colOff>
      <xdr:row>13</xdr:row>
      <xdr:rowOff>175133</xdr:rowOff>
    </xdr:to>
    <xdr:sp macro="" textlink="">
      <xdr:nvSpPr>
        <xdr:cNvPr id="14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276225</xdr:colOff>
      <xdr:row>18</xdr:row>
      <xdr:rowOff>238125</xdr:rowOff>
    </xdr:from>
    <xdr:to>
      <xdr:col>20</xdr:col>
      <xdr:colOff>8237</xdr:colOff>
      <xdr:row>19</xdr:row>
      <xdr:rowOff>184439</xdr:rowOff>
    </xdr:to>
    <xdr:sp macro="" textlink="">
      <xdr:nvSpPr>
        <xdr:cNvPr id="16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Average Salary</a:t>
          </a:r>
        </a:p>
      </xdr:txBody>
    </xdr:sp>
    <xdr:clientData fLocksWithSheet="0"/>
  </xdr:twoCellAnchor>
  <xdr:twoCellAnchor editAs="oneCell">
    <xdr:from>
      <xdr:col>11</xdr:col>
      <xdr:colOff>38100</xdr:colOff>
      <xdr:row>12</xdr:row>
      <xdr:rowOff>330200</xdr:rowOff>
    </xdr:from>
    <xdr:to>
      <xdr:col>12</xdr:col>
      <xdr:colOff>241302</xdr:colOff>
      <xdr:row>13</xdr:row>
      <xdr:rowOff>159258</xdr:rowOff>
    </xdr:to>
    <xdr:sp macro="" textlink="">
      <xdr:nvSpPr>
        <xdr:cNvPr id="22" name="Option Button 340" hidden="1">
          <a:extLst>
            <a:ext uri="{63B3BB69-23CF-44E3-9099-C40C66FF867C}">
              <a14:compatExt xmlns:a14="http://schemas.microsoft.com/office/drawing/2010/main" spid="_x0000_s3412"/>
            </a:ex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Total Salary</a:t>
          </a:r>
        </a:p>
      </xdr:txBody>
    </xdr:sp>
    <xdr:clientData fLocksWithSheet="0"/>
  </xdr:twoCellAnchor>
  <xdr:twoCellAnchor editAs="oneCell">
    <xdr:from>
      <xdr:col>16</xdr:col>
      <xdr:colOff>368300</xdr:colOff>
      <xdr:row>18</xdr:row>
      <xdr:rowOff>317500</xdr:rowOff>
    </xdr:from>
    <xdr:to>
      <xdr:col>20</xdr:col>
      <xdr:colOff>59191</xdr:colOff>
      <xdr:row>19</xdr:row>
      <xdr:rowOff>159039</xdr:rowOff>
    </xdr:to>
    <xdr:sp macro="" textlink="">
      <xdr:nvSpPr>
        <xdr:cNvPr id="23" name="Option Button 341" hidden="1">
          <a:extLst>
            <a:ext uri="{63B3BB69-23CF-44E3-9099-C40C66FF867C}">
              <a14:compatExt xmlns:a14="http://schemas.microsoft.com/office/drawing/2010/main" spid="_x0000_s3413"/>
            </a:ex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18288" anchor="ctr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ahoma" pitchFamily="2" charset="0"/>
              <a:ea typeface="Tahoma" pitchFamily="2" charset="0"/>
              <a:cs typeface="Tahoma" pitchFamily="2" charset="0"/>
            </a:rPr>
            <a:t>Average Salary</a:t>
          </a:r>
        </a:p>
      </xdr:txBody>
    </xdr:sp>
    <xdr:clientData fLocksWithSheet="0"/>
  </xdr:twoCellAnchor>
  <xdr:oneCellAnchor>
    <xdr:from>
      <xdr:col>13</xdr:col>
      <xdr:colOff>361950</xdr:colOff>
      <xdr:row>18</xdr:row>
      <xdr:rowOff>66675</xdr:rowOff>
    </xdr:from>
    <xdr:ext cx="216534" cy="264560"/>
    <xdr:sp macro="" textlink="#REF!">
      <xdr:nvSpPr>
        <xdr:cNvPr id="20" name="ZoneText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9020175" y="350520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fld id="{FCF3E905-51DD-4752-AD0A-AB91B2C2BDB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/>
            <a:t> </a:t>
          </a:fld>
          <a:endParaRPr lang="fr-CA" sz="1100"/>
        </a:p>
      </xdr:txBody>
    </xdr:sp>
    <xdr:clientData/>
  </xdr:oneCellAnchor>
  <xdr:oneCellAnchor>
    <xdr:from>
      <xdr:col>1</xdr:col>
      <xdr:colOff>38100</xdr:colOff>
      <xdr:row>23</xdr:row>
      <xdr:rowOff>47625</xdr:rowOff>
    </xdr:from>
    <xdr:ext cx="2066925" cy="264560"/>
    <xdr:sp macro="" textlink="#REF!">
      <xdr:nvSpPr>
        <xdr:cNvPr id="57" name="ZoneTexte 10">
          <a:extLst>
            <a:ext uri="{FF2B5EF4-FFF2-40B4-BE49-F238E27FC236}">
              <a16:creationId xmlns:a16="http://schemas.microsoft.com/office/drawing/2014/main" id="{79BB65E7-6527-4FAF-9E09-16BCD5E9A625}"/>
            </a:ext>
          </a:extLst>
        </xdr:cNvPr>
        <xdr:cNvSpPr txBox="1"/>
      </xdr:nvSpPr>
      <xdr:spPr>
        <a:xfrm>
          <a:off x="904009" y="1866034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8F41151-4AEF-4387-B888-B4A4522F141F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fr-CA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1</xdr:col>
      <xdr:colOff>81643</xdr:colOff>
      <xdr:row>9</xdr:row>
      <xdr:rowOff>155640</xdr:rowOff>
    </xdr:from>
    <xdr:to>
      <xdr:col>3</xdr:col>
      <xdr:colOff>61232</xdr:colOff>
      <xdr:row>10</xdr:row>
      <xdr:rowOff>276868</xdr:rowOff>
    </xdr:to>
    <xdr:graphicFrame macro="">
      <xdr:nvGraphicFramePr>
        <xdr:cNvPr id="66" name="TinyChart1">
          <a:extLst>
            <a:ext uri="{FF2B5EF4-FFF2-40B4-BE49-F238E27FC236}">
              <a16:creationId xmlns:a16="http://schemas.microsoft.com/office/drawing/2014/main" id="{63E59DA8-836E-4546-A6F8-4B3557B7A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113109</xdr:colOff>
      <xdr:row>9</xdr:row>
      <xdr:rowOff>166687</xdr:rowOff>
    </xdr:from>
    <xdr:to>
      <xdr:col>7</xdr:col>
      <xdr:colOff>523875</xdr:colOff>
      <xdr:row>11</xdr:row>
      <xdr:rowOff>23812</xdr:rowOff>
    </xdr:to>
    <xdr:graphicFrame macro="">
      <xdr:nvGraphicFramePr>
        <xdr:cNvPr id="68" name="TinyChart2">
          <a:extLst>
            <a:ext uri="{FF2B5EF4-FFF2-40B4-BE49-F238E27FC236}">
              <a16:creationId xmlns:a16="http://schemas.microsoft.com/office/drawing/2014/main" id="{8694A26E-7044-458F-934C-B100A5A65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65484</xdr:colOff>
      <xdr:row>9</xdr:row>
      <xdr:rowOff>154781</xdr:rowOff>
    </xdr:from>
    <xdr:to>
      <xdr:col>13</xdr:col>
      <xdr:colOff>172641</xdr:colOff>
      <xdr:row>11</xdr:row>
      <xdr:rowOff>65522</xdr:rowOff>
    </xdr:to>
    <xdr:graphicFrame macro="">
      <xdr:nvGraphicFramePr>
        <xdr:cNvPr id="69" name="TinyChart3">
          <a:extLst>
            <a:ext uri="{FF2B5EF4-FFF2-40B4-BE49-F238E27FC236}">
              <a16:creationId xmlns:a16="http://schemas.microsoft.com/office/drawing/2014/main" id="{FD068C84-A5A7-4D8B-BB47-A7586F2722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106305</xdr:colOff>
      <xdr:row>9</xdr:row>
      <xdr:rowOff>171884</xdr:rowOff>
    </xdr:from>
    <xdr:to>
      <xdr:col>17</xdr:col>
      <xdr:colOff>160733</xdr:colOff>
      <xdr:row>11</xdr:row>
      <xdr:rowOff>85895</xdr:rowOff>
    </xdr:to>
    <xdr:graphicFrame macro="">
      <xdr:nvGraphicFramePr>
        <xdr:cNvPr id="70" name="TinyChart4">
          <a:extLst>
            <a:ext uri="{FF2B5EF4-FFF2-40B4-BE49-F238E27FC236}">
              <a16:creationId xmlns:a16="http://schemas.microsoft.com/office/drawing/2014/main" id="{AC8D3CCA-8AC3-4882-8391-11FB59E74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93550</xdr:colOff>
      <xdr:row>9</xdr:row>
      <xdr:rowOff>239471</xdr:rowOff>
    </xdr:from>
    <xdr:to>
      <xdr:col>20</xdr:col>
      <xdr:colOff>685461</xdr:colOff>
      <xdr:row>11</xdr:row>
      <xdr:rowOff>105456</xdr:rowOff>
    </xdr:to>
    <xdr:graphicFrame macro="">
      <xdr:nvGraphicFramePr>
        <xdr:cNvPr id="73" name="TinyChart5">
          <a:extLst>
            <a:ext uri="{FF2B5EF4-FFF2-40B4-BE49-F238E27FC236}">
              <a16:creationId xmlns:a16="http://schemas.microsoft.com/office/drawing/2014/main" id="{FEFAAABE-9E57-4259-B02A-56BBDD652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50873</xdr:colOff>
      <xdr:row>15</xdr:row>
      <xdr:rowOff>81900</xdr:rowOff>
    </xdr:from>
    <xdr:to>
      <xdr:col>20</xdr:col>
      <xdr:colOff>704016</xdr:colOff>
      <xdr:row>16</xdr:row>
      <xdr:rowOff>205112</xdr:rowOff>
    </xdr:to>
    <xdr:graphicFrame macro="">
      <xdr:nvGraphicFramePr>
        <xdr:cNvPr id="61" name="TinyChart6">
          <a:extLst>
            <a:ext uri="{FF2B5EF4-FFF2-40B4-BE49-F238E27FC236}">
              <a16:creationId xmlns:a16="http://schemas.microsoft.com/office/drawing/2014/main" id="{3B10D90B-0D4F-44E9-87C4-3D600DBB3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122309</xdr:colOff>
      <xdr:row>14</xdr:row>
      <xdr:rowOff>66566</xdr:rowOff>
    </xdr:from>
    <xdr:to>
      <xdr:col>17</xdr:col>
      <xdr:colOff>82338</xdr:colOff>
      <xdr:row>16</xdr:row>
      <xdr:rowOff>228385</xdr:rowOff>
    </xdr:to>
    <xdr:graphicFrame macro="">
      <xdr:nvGraphicFramePr>
        <xdr:cNvPr id="71" name="TinyChart8">
          <a:extLst>
            <a:ext uri="{FF2B5EF4-FFF2-40B4-BE49-F238E27FC236}">
              <a16:creationId xmlns:a16="http://schemas.microsoft.com/office/drawing/2014/main" id="{43750ACF-6381-4D27-9D58-02192F291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87878</xdr:colOff>
      <xdr:row>15</xdr:row>
      <xdr:rowOff>15204</xdr:rowOff>
    </xdr:from>
    <xdr:to>
      <xdr:col>7</xdr:col>
      <xdr:colOff>468878</xdr:colOff>
      <xdr:row>16</xdr:row>
      <xdr:rowOff>250031</xdr:rowOff>
    </xdr:to>
    <xdr:graphicFrame macro="">
      <xdr:nvGraphicFramePr>
        <xdr:cNvPr id="78" name="TinyChart11">
          <a:extLst>
            <a:ext uri="{FF2B5EF4-FFF2-40B4-BE49-F238E27FC236}">
              <a16:creationId xmlns:a16="http://schemas.microsoft.com/office/drawing/2014/main" id="{BB4AED76-5494-4F52-BEB6-7A536E0F92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176326</xdr:colOff>
      <xdr:row>15</xdr:row>
      <xdr:rowOff>87895</xdr:rowOff>
    </xdr:from>
    <xdr:to>
      <xdr:col>13</xdr:col>
      <xdr:colOff>81075</xdr:colOff>
      <xdr:row>17</xdr:row>
      <xdr:rowOff>1415</xdr:rowOff>
    </xdr:to>
    <xdr:graphicFrame macro="">
      <xdr:nvGraphicFramePr>
        <xdr:cNvPr id="79" name="TinyChart12">
          <a:extLst>
            <a:ext uri="{FF2B5EF4-FFF2-40B4-BE49-F238E27FC236}">
              <a16:creationId xmlns:a16="http://schemas.microsoft.com/office/drawing/2014/main" id="{05695A45-E8C0-44CF-A5A9-50AFDB8CE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144295</xdr:colOff>
      <xdr:row>4</xdr:row>
      <xdr:rowOff>265046</xdr:rowOff>
    </xdr:from>
    <xdr:to>
      <xdr:col>13</xdr:col>
      <xdr:colOff>58459</xdr:colOff>
      <xdr:row>5</xdr:row>
      <xdr:rowOff>303858</xdr:rowOff>
    </xdr:to>
    <xdr:sp macro="" textlink="calc!#REF!">
      <xdr:nvSpPr>
        <xdr:cNvPr id="82" name="TextBox 1">
          <a:extLst>
            <a:ext uri="{FF2B5EF4-FFF2-40B4-BE49-F238E27FC236}">
              <a16:creationId xmlns:a16="http://schemas.microsoft.com/office/drawing/2014/main" id="{579EF0CA-543E-405C-BA18-5BD55A3DA9D3}"/>
            </a:ext>
          </a:extLst>
        </xdr:cNvPr>
        <xdr:cNvSpPr txBox="1"/>
      </xdr:nvSpPr>
      <xdr:spPr>
        <a:xfrm>
          <a:off x="5158399" y="1181603"/>
          <a:ext cx="1297985" cy="344330"/>
        </a:xfrm>
        <a:prstGeom prst="rect">
          <a:avLst/>
        </a:prstGeom>
      </xdr:spPr>
      <xdr:txBody>
        <a:bodyPr vert="horz"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BE0BD683-A23D-4609-9BE0-36D87A2C18FA}" type="TxLink">
            <a:rPr lang="en-US" sz="2400" b="1" i="1" u="none" strike="noStrike">
              <a:solidFill>
                <a:srgbClr val="7F7F7F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 </a:t>
          </a:fld>
          <a:endParaRPr lang="en-US" sz="32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95251</xdr:colOff>
      <xdr:row>15</xdr:row>
      <xdr:rowOff>161170</xdr:rowOff>
    </xdr:from>
    <xdr:to>
      <xdr:col>3</xdr:col>
      <xdr:colOff>108858</xdr:colOff>
      <xdr:row>17</xdr:row>
      <xdr:rowOff>55562</xdr:rowOff>
    </xdr:to>
    <xdr:graphicFrame macro="">
      <xdr:nvGraphicFramePr>
        <xdr:cNvPr id="95" name="TinyChart1">
          <a:extLst>
            <a:ext uri="{FF2B5EF4-FFF2-40B4-BE49-F238E27FC236}">
              <a16:creationId xmlns:a16="http://schemas.microsoft.com/office/drawing/2014/main" id="{8FDB53FC-5629-48BC-A4C0-ED5015C6E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563146</xdr:colOff>
      <xdr:row>7</xdr:row>
      <xdr:rowOff>87176</xdr:rowOff>
    </xdr:from>
    <xdr:to>
      <xdr:col>19</xdr:col>
      <xdr:colOff>244430</xdr:colOff>
      <xdr:row>13</xdr:row>
      <xdr:rowOff>20411</xdr:rowOff>
    </xdr:to>
    <xdr:grpSp>
      <xdr:nvGrpSpPr>
        <xdr:cNvPr id="6" name="HelpBox" hidden="1">
          <a:extLst>
            <a:ext uri="{FF2B5EF4-FFF2-40B4-BE49-F238E27FC236}">
              <a16:creationId xmlns:a16="http://schemas.microsoft.com/office/drawing/2014/main" id="{F9CBE43A-33F0-424C-B63E-AA6114E1DAEB}"/>
            </a:ext>
          </a:extLst>
        </xdr:cNvPr>
        <xdr:cNvGrpSpPr/>
      </xdr:nvGrpSpPr>
      <xdr:grpSpPr>
        <a:xfrm>
          <a:off x="3095385" y="2733009"/>
          <a:ext cx="5008934" cy="1055069"/>
          <a:chOff x="1467504" y="1696134"/>
          <a:chExt cx="5622190" cy="1147757"/>
        </a:xfrm>
      </xdr:grpSpPr>
      <xdr:sp macro="" textlink="">
        <xdr:nvSpPr>
          <xdr:cNvPr id="84" name="Rounded Rectangular Callout 15" hidden="1">
            <a:extLst>
              <a:ext uri="{FF2B5EF4-FFF2-40B4-BE49-F238E27FC236}">
                <a16:creationId xmlns:a16="http://schemas.microsoft.com/office/drawing/2014/main" id="{02266FAE-E293-4777-941E-4F7AC815A46B}"/>
              </a:ext>
            </a:extLst>
          </xdr:cNvPr>
          <xdr:cNvSpPr/>
        </xdr:nvSpPr>
        <xdr:spPr>
          <a:xfrm>
            <a:off x="1483444" y="1696134"/>
            <a:ext cx="705110" cy="315018"/>
          </a:xfrm>
          <a:prstGeom prst="wedgeRoundRectCallout">
            <a:avLst>
              <a:gd name="adj1" fmla="val -63898"/>
              <a:gd name="adj2" fmla="val -30986"/>
              <a:gd name="adj3" fmla="val 16667"/>
            </a:avLst>
          </a:prstGeom>
          <a:solidFill>
            <a:srgbClr val="4F83BD">
              <a:alpha val="60000"/>
            </a:srgbClr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700" b="0">
                <a:solidFill>
                  <a:schemeClr val="bg1"/>
                </a:solidFill>
              </a:rPr>
              <a:t>Explanation</a:t>
            </a:r>
            <a:r>
              <a:rPr lang="en-US" sz="700" b="0" baseline="0">
                <a:solidFill>
                  <a:schemeClr val="bg1"/>
                </a:solidFill>
              </a:rPr>
              <a:t> no.4.</a:t>
            </a:r>
            <a:endParaRPr lang="en-US" sz="700" b="0">
              <a:solidFill>
                <a:schemeClr val="bg1"/>
              </a:solidFill>
            </a:endParaRPr>
          </a:p>
        </xdr:txBody>
      </xdr:sp>
      <xdr:sp macro="" textlink="">
        <xdr:nvSpPr>
          <xdr:cNvPr id="87" name="Rounded Rectangular Callout 18" hidden="1">
            <a:extLst>
              <a:ext uri="{FF2B5EF4-FFF2-40B4-BE49-F238E27FC236}">
                <a16:creationId xmlns:a16="http://schemas.microsoft.com/office/drawing/2014/main" id="{D7EC649C-2368-487D-836B-1A3ED0D40B0C}"/>
              </a:ext>
            </a:extLst>
          </xdr:cNvPr>
          <xdr:cNvSpPr/>
        </xdr:nvSpPr>
        <xdr:spPr>
          <a:xfrm>
            <a:off x="6264709" y="1745188"/>
            <a:ext cx="824985" cy="315129"/>
          </a:xfrm>
          <a:prstGeom prst="wedgeRoundRectCallout">
            <a:avLst>
              <a:gd name="adj1" fmla="val -30323"/>
              <a:gd name="adj2" fmla="val -79994"/>
              <a:gd name="adj3" fmla="val 16667"/>
            </a:avLst>
          </a:prstGeom>
          <a:solidFill>
            <a:srgbClr val="4F83BD">
              <a:alpha val="60000"/>
            </a:srgbClr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700">
                <a:solidFill>
                  <a:schemeClr val="bg1"/>
                </a:solidFill>
              </a:rPr>
              <a:t>Explanation no.1.</a:t>
            </a:r>
          </a:p>
        </xdr:txBody>
      </xdr:sp>
      <xdr:sp macro="" textlink="">
        <xdr:nvSpPr>
          <xdr:cNvPr id="89" name="Rounded Rectangular Callout 19" hidden="1">
            <a:extLst>
              <a:ext uri="{FF2B5EF4-FFF2-40B4-BE49-F238E27FC236}">
                <a16:creationId xmlns:a16="http://schemas.microsoft.com/office/drawing/2014/main" id="{1BC7FDAE-CD9B-4815-93F4-F25FA9E0CCC8}"/>
              </a:ext>
            </a:extLst>
          </xdr:cNvPr>
          <xdr:cNvSpPr/>
        </xdr:nvSpPr>
        <xdr:spPr>
          <a:xfrm>
            <a:off x="1467504" y="2507322"/>
            <a:ext cx="791654" cy="329767"/>
          </a:xfrm>
          <a:prstGeom prst="wedgeRoundRectCallout">
            <a:avLst>
              <a:gd name="adj1" fmla="val -33685"/>
              <a:gd name="adj2" fmla="val 63263"/>
              <a:gd name="adj3" fmla="val 16667"/>
            </a:avLst>
          </a:prstGeom>
          <a:solidFill>
            <a:srgbClr val="4F83BD">
              <a:alpha val="60000"/>
            </a:srgbClr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Explanation</a:t>
            </a:r>
            <a:r>
              <a:rPr lang="en-US" sz="8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no.3</a:t>
            </a:r>
            <a:endParaRPr lang="en-US" sz="400">
              <a:solidFill>
                <a:schemeClr val="bg1"/>
              </a:solidFill>
            </a:endParaRPr>
          </a:p>
        </xdr:txBody>
      </xdr:sp>
      <xdr:sp macro="" textlink="">
        <xdr:nvSpPr>
          <xdr:cNvPr id="91" name="Rounded Rectangular Callout 20" hidden="1">
            <a:extLst>
              <a:ext uri="{FF2B5EF4-FFF2-40B4-BE49-F238E27FC236}">
                <a16:creationId xmlns:a16="http://schemas.microsoft.com/office/drawing/2014/main" id="{23D98F7D-9D43-4860-8237-8BE5A079B2C8}"/>
              </a:ext>
            </a:extLst>
          </xdr:cNvPr>
          <xdr:cNvSpPr/>
        </xdr:nvSpPr>
        <xdr:spPr>
          <a:xfrm>
            <a:off x="4591658" y="2580681"/>
            <a:ext cx="833108" cy="263210"/>
          </a:xfrm>
          <a:prstGeom prst="wedgeRoundRectCallout">
            <a:avLst>
              <a:gd name="adj1" fmla="val -26159"/>
              <a:gd name="adj2" fmla="val 65004"/>
              <a:gd name="adj3" fmla="val 16667"/>
            </a:avLst>
          </a:prstGeom>
          <a:solidFill>
            <a:srgbClr val="4F83BD">
              <a:alpha val="60000"/>
            </a:srgbClr>
          </a:solidFill>
          <a:ln>
            <a:solidFill>
              <a:schemeClr val="bg2">
                <a:lumMod val="5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700">
                <a:solidFill>
                  <a:schemeClr val="bg1"/>
                </a:solidFill>
              </a:rPr>
              <a:t>Explanation no.2.</a:t>
            </a:r>
          </a:p>
        </xdr:txBody>
      </xdr:sp>
    </xdr:grpSp>
    <xdr:clientData/>
  </xdr:twoCellAnchor>
  <xdr:twoCellAnchor>
    <xdr:from>
      <xdr:col>1</xdr:col>
      <xdr:colOff>232173</xdr:colOff>
      <xdr:row>11</xdr:row>
      <xdr:rowOff>95251</xdr:rowOff>
    </xdr:from>
    <xdr:to>
      <xdr:col>2</xdr:col>
      <xdr:colOff>686879</xdr:colOff>
      <xdr:row>12</xdr:row>
      <xdr:rowOff>5953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39547AAE-57FE-4E36-84A1-4443A68E9B89}"/>
            </a:ext>
          </a:extLst>
        </xdr:cNvPr>
        <xdr:cNvSpPr txBox="1"/>
      </xdr:nvSpPr>
      <xdr:spPr>
        <a:xfrm>
          <a:off x="500064" y="2821782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5</xdr:col>
      <xdr:colOff>330994</xdr:colOff>
      <xdr:row>11</xdr:row>
      <xdr:rowOff>98823</xdr:rowOff>
    </xdr:from>
    <xdr:to>
      <xdr:col>7</xdr:col>
      <xdr:colOff>488044</xdr:colOff>
      <xdr:row>12</xdr:row>
      <xdr:rowOff>9525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71CC9ED-C51F-4D53-BE6B-23C1476A363D}"/>
            </a:ext>
          </a:extLst>
        </xdr:cNvPr>
        <xdr:cNvSpPr txBox="1"/>
      </xdr:nvSpPr>
      <xdr:spPr>
        <a:xfrm>
          <a:off x="2212182" y="2825354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11</xdr:col>
      <xdr:colOff>259773</xdr:colOff>
      <xdr:row>11</xdr:row>
      <xdr:rowOff>76418</xdr:rowOff>
    </xdr:from>
    <xdr:to>
      <xdr:col>13</xdr:col>
      <xdr:colOff>169605</xdr:colOff>
      <xdr:row>11</xdr:row>
      <xdr:rowOff>290188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9C0D528B-C6B9-4FFC-BB81-AB153E22F800}"/>
            </a:ext>
          </a:extLst>
        </xdr:cNvPr>
        <xdr:cNvSpPr txBox="1"/>
      </xdr:nvSpPr>
      <xdr:spPr>
        <a:xfrm>
          <a:off x="3307773" y="3721895"/>
          <a:ext cx="1113446" cy="2137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15</xdr:col>
      <xdr:colOff>173182</xdr:colOff>
      <xdr:row>11</xdr:row>
      <xdr:rowOff>100014</xdr:rowOff>
    </xdr:from>
    <xdr:to>
      <xdr:col>17</xdr:col>
      <xdr:colOff>84423</xdr:colOff>
      <xdr:row>12</xdr:row>
      <xdr:rowOff>10716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4A8126C-6538-4121-8D05-E3614A8798A2}"/>
            </a:ext>
          </a:extLst>
        </xdr:cNvPr>
        <xdr:cNvSpPr txBox="1"/>
      </xdr:nvSpPr>
      <xdr:spPr>
        <a:xfrm>
          <a:off x="4710546" y="3745491"/>
          <a:ext cx="1132172" cy="2137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19</xdr:col>
      <xdr:colOff>164522</xdr:colOff>
      <xdr:row>11</xdr:row>
      <xdr:rowOff>103586</xdr:rowOff>
    </xdr:from>
    <xdr:to>
      <xdr:col>20</xdr:col>
      <xdr:colOff>493238</xdr:colOff>
      <xdr:row>12</xdr:row>
      <xdr:rowOff>14288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C6C2DE92-3769-415F-9F5F-704C7565626D}"/>
            </a:ext>
          </a:extLst>
        </xdr:cNvPr>
        <xdr:cNvSpPr txBox="1"/>
      </xdr:nvSpPr>
      <xdr:spPr>
        <a:xfrm>
          <a:off x="6225886" y="3749063"/>
          <a:ext cx="1090716" cy="2137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</xdr:col>
      <xdr:colOff>164523</xdr:colOff>
      <xdr:row>17</xdr:row>
      <xdr:rowOff>71439</xdr:rowOff>
    </xdr:from>
    <xdr:to>
      <xdr:col>3</xdr:col>
      <xdr:colOff>103910</xdr:colOff>
      <xdr:row>17</xdr:row>
      <xdr:rowOff>285751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10BCD76-B2A2-4554-B1F6-6EE5F98D71A3}"/>
            </a:ext>
          </a:extLst>
        </xdr:cNvPr>
        <xdr:cNvSpPr txBox="1"/>
      </xdr:nvSpPr>
      <xdr:spPr>
        <a:xfrm>
          <a:off x="432955" y="4366348"/>
          <a:ext cx="1047750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5</xdr:col>
      <xdr:colOff>289321</xdr:colOff>
      <xdr:row>17</xdr:row>
      <xdr:rowOff>86917</xdr:rowOff>
    </xdr:from>
    <xdr:to>
      <xdr:col>7</xdr:col>
      <xdr:colOff>446371</xdr:colOff>
      <xdr:row>18</xdr:row>
      <xdr:rowOff>3573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EF01DAED-09B5-4DD0-9F1B-7F42981D88D5}"/>
            </a:ext>
          </a:extLst>
        </xdr:cNvPr>
        <xdr:cNvSpPr txBox="1"/>
      </xdr:nvSpPr>
      <xdr:spPr>
        <a:xfrm>
          <a:off x="2170509" y="4164808"/>
          <a:ext cx="1151221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11</xdr:col>
      <xdr:colOff>225136</xdr:colOff>
      <xdr:row>17</xdr:row>
      <xdr:rowOff>55312</xdr:rowOff>
    </xdr:from>
    <xdr:to>
      <xdr:col>13</xdr:col>
      <xdr:colOff>121227</xdr:colOff>
      <xdr:row>17</xdr:row>
      <xdr:rowOff>269624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40A45F-7F21-42BA-9602-CBFEBCBCE4F8}"/>
            </a:ext>
          </a:extLst>
        </xdr:cNvPr>
        <xdr:cNvSpPr txBox="1"/>
      </xdr:nvSpPr>
      <xdr:spPr>
        <a:xfrm>
          <a:off x="3273136" y="4350221"/>
          <a:ext cx="1099705" cy="21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15</xdr:col>
      <xdr:colOff>173182</xdr:colOff>
      <xdr:row>17</xdr:row>
      <xdr:rowOff>65378</xdr:rowOff>
    </xdr:from>
    <xdr:to>
      <xdr:col>17</xdr:col>
      <xdr:colOff>51955</xdr:colOff>
      <xdr:row>17</xdr:row>
      <xdr:rowOff>276443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34B63019-A755-400C-8D5F-F2A17675A686}"/>
            </a:ext>
          </a:extLst>
        </xdr:cNvPr>
        <xdr:cNvSpPr txBox="1"/>
      </xdr:nvSpPr>
      <xdr:spPr>
        <a:xfrm>
          <a:off x="4710546" y="4360287"/>
          <a:ext cx="1099704" cy="2110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19</xdr:col>
      <xdr:colOff>181841</xdr:colOff>
      <xdr:row>17</xdr:row>
      <xdr:rowOff>85727</xdr:rowOff>
    </xdr:from>
    <xdr:to>
      <xdr:col>21</xdr:col>
      <xdr:colOff>19695</xdr:colOff>
      <xdr:row>18</xdr:row>
      <xdr:rowOff>2383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882611B4-FCA6-4C65-BD02-C2FB2FDD6AD1}"/>
            </a:ext>
          </a:extLst>
        </xdr:cNvPr>
        <xdr:cNvSpPr txBox="1"/>
      </xdr:nvSpPr>
      <xdr:spPr>
        <a:xfrm>
          <a:off x="6243205" y="4380636"/>
          <a:ext cx="1145376" cy="2110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 previous month</a:t>
          </a:r>
        </a:p>
      </xdr:txBody>
    </xdr:sp>
    <xdr:clientData/>
  </xdr:twoCellAnchor>
  <xdr:twoCellAnchor>
    <xdr:from>
      <xdr:col>3</xdr:col>
      <xdr:colOff>91642</xdr:colOff>
      <xdr:row>2</xdr:row>
      <xdr:rowOff>26698</xdr:rowOff>
    </xdr:from>
    <xdr:to>
      <xdr:col>17</xdr:col>
      <xdr:colOff>220210</xdr:colOff>
      <xdr:row>5</xdr:row>
      <xdr:rowOff>1514186</xdr:rowOff>
    </xdr:to>
    <xdr:graphicFrame macro="">
      <xdr:nvGraphicFramePr>
        <xdr:cNvPr id="62" name="SF2_1">
          <a:extLst>
            <a:ext uri="{FF2B5EF4-FFF2-40B4-BE49-F238E27FC236}">
              <a16:creationId xmlns:a16="http://schemas.microsoft.com/office/drawing/2014/main" id="{17DA4D21-1E9D-46C7-B7F4-3F0B8DF88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346364</xdr:colOff>
          <xdr:row>10</xdr:row>
          <xdr:rowOff>242454</xdr:rowOff>
        </xdr:from>
        <xdr:to>
          <xdr:col>1</xdr:col>
          <xdr:colOff>825565</xdr:colOff>
          <xdr:row>11</xdr:row>
          <xdr:rowOff>182707</xdr:rowOff>
        </xdr:to>
        <xdr:pic>
          <xdr:nvPicPr>
            <xdr:cNvPr id="64" name="Picture 63">
              <a:extLst>
                <a:ext uri="{FF2B5EF4-FFF2-40B4-BE49-F238E27FC236}">
                  <a16:creationId xmlns:a16="http://schemas.microsoft.com/office/drawing/2014/main" id="{0739D8D4-62CD-40FB-8A83-8819D9B8B0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4" spid="_x0000_s551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614796" y="3169227"/>
              <a:ext cx="438150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493568</xdr:colOff>
          <xdr:row>10</xdr:row>
          <xdr:rowOff>225136</xdr:rowOff>
        </xdr:from>
        <xdr:to>
          <xdr:col>7</xdr:col>
          <xdr:colOff>867</xdr:colOff>
          <xdr:row>11</xdr:row>
          <xdr:rowOff>165389</xdr:rowOff>
        </xdr:to>
        <xdr:pic>
          <xdr:nvPicPr>
            <xdr:cNvPr id="65" name="Picture 64">
              <a:extLst>
                <a:ext uri="{FF2B5EF4-FFF2-40B4-BE49-F238E27FC236}">
                  <a16:creationId xmlns:a16="http://schemas.microsoft.com/office/drawing/2014/main" id="{4373AB12-D065-4C95-87CE-7E842E8595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5" spid="_x0000_s5514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2095500" y="3151909"/>
              <a:ext cx="438150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580159</xdr:colOff>
          <xdr:row>10</xdr:row>
          <xdr:rowOff>225136</xdr:rowOff>
        </xdr:from>
        <xdr:to>
          <xdr:col>12</xdr:col>
          <xdr:colOff>325583</xdr:colOff>
          <xdr:row>11</xdr:row>
          <xdr:rowOff>165389</xdr:rowOff>
        </xdr:to>
        <xdr:pic>
          <xdr:nvPicPr>
            <xdr:cNvPr id="67" name="Picture 66">
              <a:extLst>
                <a:ext uri="{FF2B5EF4-FFF2-40B4-BE49-F238E27FC236}">
                  <a16:creationId xmlns:a16="http://schemas.microsoft.com/office/drawing/2014/main" id="{F3CBB4C1-0F5E-4123-9F8E-C635955EF8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6" spid="_x0000_s5515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4130386" y="3610841"/>
              <a:ext cx="438150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10</xdr:row>
          <xdr:rowOff>251113</xdr:rowOff>
        </xdr:from>
        <xdr:to>
          <xdr:col>16</xdr:col>
          <xdr:colOff>221673</xdr:colOff>
          <xdr:row>11</xdr:row>
          <xdr:rowOff>191366</xdr:rowOff>
        </xdr:to>
        <xdr:pic>
          <xdr:nvPicPr>
            <xdr:cNvPr id="74" name="Picture 73">
              <a:extLst>
                <a:ext uri="{FF2B5EF4-FFF2-40B4-BE49-F238E27FC236}">
                  <a16:creationId xmlns:a16="http://schemas.microsoft.com/office/drawing/2014/main" id="{5AB4DF4C-801C-4456-9532-62378AA12CB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7" spid="_x0000_s5516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5013614" y="3177886"/>
              <a:ext cx="438150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458931</xdr:colOff>
          <xdr:row>10</xdr:row>
          <xdr:rowOff>225137</xdr:rowOff>
        </xdr:from>
        <xdr:to>
          <xdr:col>20</xdr:col>
          <xdr:colOff>246206</xdr:colOff>
          <xdr:row>11</xdr:row>
          <xdr:rowOff>169719</xdr:rowOff>
        </xdr:to>
        <xdr:pic>
          <xdr:nvPicPr>
            <xdr:cNvPr id="76" name="Picture 75">
              <a:extLst>
                <a:ext uri="{FF2B5EF4-FFF2-40B4-BE49-F238E27FC236}">
                  <a16:creationId xmlns:a16="http://schemas.microsoft.com/office/drawing/2014/main" id="{CEC85570-221C-4EF9-AE04-0ACEFE8D22C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8" spid="_x0000_s5517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6520295" y="3151910"/>
              <a:ext cx="438150" cy="20435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337704</xdr:colOff>
          <xdr:row>16</xdr:row>
          <xdr:rowOff>173182</xdr:rowOff>
        </xdr:from>
        <xdr:to>
          <xdr:col>1</xdr:col>
          <xdr:colOff>816905</xdr:colOff>
          <xdr:row>17</xdr:row>
          <xdr:rowOff>113434</xdr:rowOff>
        </xdr:to>
        <xdr:pic>
          <xdr:nvPicPr>
            <xdr:cNvPr id="77" name="Picture 76">
              <a:extLst>
                <a:ext uri="{FF2B5EF4-FFF2-40B4-BE49-F238E27FC236}">
                  <a16:creationId xmlns:a16="http://schemas.microsoft.com/office/drawing/2014/main" id="{14BC11FC-AE06-46B4-BC63-C63FF55616F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9" spid="_x0000_s5518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606136" y="4208318"/>
              <a:ext cx="438150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528204</xdr:colOff>
          <xdr:row>16</xdr:row>
          <xdr:rowOff>181841</xdr:rowOff>
        </xdr:from>
        <xdr:to>
          <xdr:col>7</xdr:col>
          <xdr:colOff>35503</xdr:colOff>
          <xdr:row>17</xdr:row>
          <xdr:rowOff>122093</xdr:rowOff>
        </xdr:to>
        <xdr:pic>
          <xdr:nvPicPr>
            <xdr:cNvPr id="80" name="Picture 79">
              <a:extLst>
                <a:ext uri="{FF2B5EF4-FFF2-40B4-BE49-F238E27FC236}">
                  <a16:creationId xmlns:a16="http://schemas.microsoft.com/office/drawing/2014/main" id="{A62DC611-3E78-423D-B717-3AF902F4DE5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10" spid="_x0000_s551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2130136" y="4216977"/>
              <a:ext cx="438150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519546</xdr:colOff>
          <xdr:row>16</xdr:row>
          <xdr:rowOff>190500</xdr:rowOff>
        </xdr:from>
        <xdr:to>
          <xdr:col>12</xdr:col>
          <xdr:colOff>264970</xdr:colOff>
          <xdr:row>17</xdr:row>
          <xdr:rowOff>130752</xdr:rowOff>
        </xdr:to>
        <xdr:pic>
          <xdr:nvPicPr>
            <xdr:cNvPr id="81" name="Picture 80">
              <a:extLst>
                <a:ext uri="{FF2B5EF4-FFF2-40B4-BE49-F238E27FC236}">
                  <a16:creationId xmlns:a16="http://schemas.microsoft.com/office/drawing/2014/main" id="{424454D9-B344-4DDC-8F64-A623EBF4DD7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11" spid="_x0000_s552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3567546" y="4225636"/>
              <a:ext cx="438150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484908</xdr:colOff>
          <xdr:row>16</xdr:row>
          <xdr:rowOff>181841</xdr:rowOff>
        </xdr:from>
        <xdr:to>
          <xdr:col>16</xdr:col>
          <xdr:colOff>230331</xdr:colOff>
          <xdr:row>17</xdr:row>
          <xdr:rowOff>122093</xdr:rowOff>
        </xdr:to>
        <xdr:pic>
          <xdr:nvPicPr>
            <xdr:cNvPr id="83" name="Picture 82">
              <a:extLst>
                <a:ext uri="{FF2B5EF4-FFF2-40B4-BE49-F238E27FC236}">
                  <a16:creationId xmlns:a16="http://schemas.microsoft.com/office/drawing/2014/main" id="{A5BE8555-75A6-4DCA-AC50-305A2FC57D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12" spid="_x0000_s5521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5022272" y="4216977"/>
              <a:ext cx="438150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467590</xdr:colOff>
          <xdr:row>16</xdr:row>
          <xdr:rowOff>173182</xdr:rowOff>
        </xdr:from>
        <xdr:to>
          <xdr:col>20</xdr:col>
          <xdr:colOff>254865</xdr:colOff>
          <xdr:row>17</xdr:row>
          <xdr:rowOff>113434</xdr:rowOff>
        </xdr:to>
        <xdr:pic>
          <xdr:nvPicPr>
            <xdr:cNvPr id="85" name="Picture 84">
              <a:extLst>
                <a:ext uri="{FF2B5EF4-FFF2-40B4-BE49-F238E27FC236}">
                  <a16:creationId xmlns:a16="http://schemas.microsoft.com/office/drawing/2014/main" id="{3599AEDB-6FEA-4541-B5E2-16328AA98E8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H$13" spid="_x0000_s5522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6528954" y="4208318"/>
              <a:ext cx="438150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280146</xdr:colOff>
      <xdr:row>21</xdr:row>
      <xdr:rowOff>22411</xdr:rowOff>
    </xdr:from>
    <xdr:to>
      <xdr:col>15</xdr:col>
      <xdr:colOff>319367</xdr:colOff>
      <xdr:row>22</xdr:row>
      <xdr:rowOff>100853</xdr:rowOff>
    </xdr:to>
    <xdr:sp macro="" textlink="$D$24">
      <xdr:nvSpPr>
        <xdr:cNvPr id="3" name="TextBox 2">
          <a:extLst>
            <a:ext uri="{FF2B5EF4-FFF2-40B4-BE49-F238E27FC236}">
              <a16:creationId xmlns:a16="http://schemas.microsoft.com/office/drawing/2014/main" id="{F6EBE6BA-3CAC-42F2-80E6-F99824467028}"/>
            </a:ext>
          </a:extLst>
        </xdr:cNvPr>
        <xdr:cNvSpPr txBox="1"/>
      </xdr:nvSpPr>
      <xdr:spPr>
        <a:xfrm>
          <a:off x="5838264" y="3759573"/>
          <a:ext cx="745191" cy="268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0116E10-E316-4EA5-B23F-FEDD0753A725}" type="TxLink">
            <a:rPr lang="en-US" sz="1800" b="1" i="1" u="none" strike="noStrike">
              <a:solidFill>
                <a:srgbClr val="595959"/>
              </a:solidFill>
              <a:latin typeface="Segoe UI"/>
              <a:cs typeface="Segoe UI"/>
            </a:rPr>
            <a:pPr algn="ctr"/>
            <a:t> </a:t>
          </a:fld>
          <a:endParaRPr lang="en-US" sz="2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64CC-8387-4274-B57B-028E905921CC}">
  <dimension ref="A1:CWT7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18.453125" style="76" bestFit="1" customWidth="1"/>
    <col min="2" max="2" width="3.54296875" style="76" bestFit="1" customWidth="1"/>
    <col min="3" max="5" width="2" style="76" bestFit="1" customWidth="1"/>
    <col min="6" max="6" width="4.453125" style="76" bestFit="1" customWidth="1"/>
    <col min="7" max="7" width="4.7265625" style="76" bestFit="1" customWidth="1"/>
    <col min="8" max="8" width="4.1796875" style="76" bestFit="1" customWidth="1"/>
    <col min="9" max="9" width="7.26953125" style="76" bestFit="1" customWidth="1"/>
    <col min="10" max="10" width="9" style="76" bestFit="1" customWidth="1"/>
    <col min="11" max="11" width="10.453125" style="76" bestFit="1" customWidth="1"/>
    <col min="12" max="12" width="7.453125" style="76" bestFit="1" customWidth="1"/>
    <col min="13" max="14" width="6" style="76" bestFit="1" customWidth="1"/>
    <col min="15" max="17" width="6.81640625" style="76" bestFit="1" customWidth="1"/>
    <col min="18" max="18" width="4.7265625" style="76" bestFit="1" customWidth="1"/>
    <col min="19" max="19" width="11.81640625" style="76" bestFit="1" customWidth="1"/>
    <col min="20" max="20" width="11.54296875" style="76" bestFit="1" customWidth="1"/>
    <col min="21" max="21" width="9" style="76" bestFit="1" customWidth="1"/>
    <col min="22" max="22" width="10.1796875" style="76" bestFit="1" customWidth="1"/>
    <col min="23" max="23" width="8.453125" style="76" bestFit="1" customWidth="1"/>
    <col min="24" max="24" width="11.1796875" style="76" bestFit="1" customWidth="1"/>
    <col min="25" max="25" width="4.54296875" style="76" bestFit="1" customWidth="1"/>
    <col min="26" max="26" width="3.453125" style="76" bestFit="1" customWidth="1"/>
    <col min="27" max="29" width="2" style="76" bestFit="1" customWidth="1"/>
    <col min="30" max="30" width="4.453125" style="76" bestFit="1" customWidth="1"/>
    <col min="31" max="31" width="4.7265625" style="76" bestFit="1" customWidth="1"/>
    <col min="32" max="32" width="4.1796875" style="76" bestFit="1" customWidth="1"/>
    <col min="33" max="33" width="11.453125" style="76" bestFit="1" customWidth="1"/>
    <col min="34" max="34" width="8.26953125" style="76" bestFit="1" customWidth="1"/>
    <col min="35" max="41" width="6" style="76" bestFit="1" customWidth="1"/>
    <col min="42" max="44" width="7" style="76" bestFit="1" customWidth="1"/>
    <col min="45" max="50" width="6.81640625" style="76" bestFit="1" customWidth="1"/>
    <col min="51" max="53" width="7.81640625" style="76" bestFit="1" customWidth="1"/>
    <col min="54" max="54" width="12" style="76" bestFit="1" customWidth="1"/>
    <col min="55" max="55" width="6.54296875" style="76" bestFit="1" customWidth="1"/>
    <col min="56" max="56" width="9.1796875" style="76"/>
    <col min="57" max="62" width="2" style="76" bestFit="1" customWidth="1"/>
    <col min="63" max="63" width="7.81640625" style="76" bestFit="1" customWidth="1"/>
    <col min="64" max="65" width="7.1796875" style="76" bestFit="1" customWidth="1"/>
    <col min="66" max="100" width="9.1796875" style="76"/>
    <col min="101" max="101" width="20.453125" style="76" bestFit="1" customWidth="1"/>
    <col min="102" max="102" width="11.81640625" style="76" bestFit="1" customWidth="1"/>
    <col min="103" max="103" width="11.54296875" style="76" bestFit="1" customWidth="1"/>
    <col min="104" max="104" width="9" style="76" bestFit="1" customWidth="1"/>
    <col min="105" max="105" width="10.1796875" style="76" bestFit="1" customWidth="1"/>
    <col min="106" max="107" width="6.453125" style="76" bestFit="1" customWidth="1"/>
    <col min="108" max="108" width="4.26953125" style="76" bestFit="1" customWidth="1"/>
    <col min="109" max="110" width="7.81640625" style="76" bestFit="1" customWidth="1"/>
    <col min="111" max="112" width="6.453125" style="76" bestFit="1" customWidth="1"/>
    <col min="113" max="113" width="4.26953125" style="76" bestFit="1" customWidth="1"/>
    <col min="114" max="115" width="7.81640625" style="76" bestFit="1" customWidth="1"/>
    <col min="116" max="1500" width="9.1796875" style="76"/>
    <col min="1501" max="1501" width="24" style="76" bestFit="1" customWidth="1"/>
    <col min="1502" max="1502" width="11.81640625" style="76" bestFit="1" customWidth="1"/>
    <col min="1503" max="1503" width="11.54296875" style="76" bestFit="1" customWidth="1"/>
    <col min="1504" max="1504" width="9" style="76" bestFit="1" customWidth="1"/>
    <col min="1505" max="1505" width="10.1796875" style="76" bestFit="1" customWidth="1"/>
    <col min="1506" max="1506" width="7.81640625" style="76" bestFit="1" customWidth="1"/>
    <col min="1507" max="1600" width="9.1796875" style="76"/>
    <col min="1601" max="1601" width="14.453125" style="76" bestFit="1" customWidth="1"/>
    <col min="1602" max="1602" width="3.54296875" style="76" bestFit="1" customWidth="1"/>
    <col min="1603" max="1603" width="6.54296875" style="76" bestFit="1" customWidth="1"/>
    <col min="1604" max="1604" width="7.1796875" style="76" bestFit="1" customWidth="1"/>
    <col min="1605" max="1605" width="7.453125" style="76" bestFit="1" customWidth="1"/>
    <col min="1606" max="1608" width="6" style="76" bestFit="1" customWidth="1"/>
    <col min="1609" max="1609" width="7.26953125" style="76" bestFit="1" customWidth="1"/>
    <col min="1610" max="1610" width="9" style="76" bestFit="1" customWidth="1"/>
    <col min="1611" max="1611" width="9.7265625" style="76" bestFit="1" customWidth="1"/>
    <col min="1612" max="1612" width="7" style="76" bestFit="1" customWidth="1"/>
    <col min="1613" max="1613" width="8.54296875" style="76" bestFit="1" customWidth="1"/>
    <col min="1614" max="1614" width="4.81640625" style="76" bestFit="1" customWidth="1"/>
    <col min="1615" max="1617" width="7.1796875" style="76" bestFit="1" customWidth="1"/>
    <col min="1618" max="1618" width="6.81640625" style="76" bestFit="1" customWidth="1"/>
    <col min="1619" max="1619" width="11.81640625" style="76" bestFit="1" customWidth="1"/>
    <col min="1620" max="1620" width="11.54296875" style="76" bestFit="1" customWidth="1"/>
    <col min="1621" max="1621" width="9" style="76" bestFit="1" customWidth="1"/>
    <col min="1622" max="1622" width="10.1796875" style="76" bestFit="1" customWidth="1"/>
    <col min="1623" max="1623" width="6.81640625" style="76" bestFit="1" customWidth="1"/>
    <col min="1624" max="1624" width="7.1796875" style="76" bestFit="1" customWidth="1"/>
    <col min="1625" max="1900" width="9.1796875" style="76"/>
    <col min="1901" max="1901" width="24.453125" style="76" bestFit="1" customWidth="1"/>
    <col min="1902" max="1902" width="11.81640625" style="76" bestFit="1" customWidth="1"/>
    <col min="1903" max="1903" width="11.54296875" style="76" bestFit="1" customWidth="1"/>
    <col min="1904" max="1904" width="9" style="76" bestFit="1" customWidth="1"/>
    <col min="1905" max="1905" width="10.1796875" style="76" bestFit="1" customWidth="1"/>
    <col min="1906" max="2000" width="9.1796875" style="76"/>
    <col min="2001" max="2001" width="21" style="76" bestFit="1" customWidth="1"/>
    <col min="2002" max="2002" width="11.81640625" style="76" bestFit="1" customWidth="1"/>
    <col min="2003" max="2003" width="11.54296875" style="76" bestFit="1" customWidth="1"/>
    <col min="2004" max="2004" width="9" style="76" bestFit="1" customWidth="1"/>
    <col min="2005" max="2005" width="10.1796875" style="76" bestFit="1" customWidth="1"/>
    <col min="2006" max="2006" width="6.54296875" style="76" bestFit="1" customWidth="1"/>
    <col min="2007" max="2007" width="7" style="76" bestFit="1" customWidth="1"/>
    <col min="2008" max="2008" width="11.1796875" style="76" bestFit="1" customWidth="1"/>
    <col min="2009" max="2009" width="10" style="76" bestFit="1" customWidth="1"/>
    <col min="2010" max="2010" width="7" style="76" bestFit="1" customWidth="1"/>
    <col min="2011" max="2011" width="5.54296875" style="76" bestFit="1" customWidth="1"/>
    <col min="2012" max="2012" width="17.81640625" style="76" bestFit="1" customWidth="1"/>
    <col min="2013" max="2100" width="9.1796875" style="76"/>
    <col min="2101" max="2101" width="18.453125" style="76" bestFit="1" customWidth="1"/>
    <col min="2102" max="2102" width="11.81640625" style="76" bestFit="1" customWidth="1"/>
    <col min="2103" max="2103" width="11.54296875" style="76" bestFit="1" customWidth="1"/>
    <col min="2104" max="2104" width="9" style="76" bestFit="1" customWidth="1"/>
    <col min="2105" max="2105" width="10.1796875" style="76" bestFit="1" customWidth="1"/>
    <col min="2106" max="2109" width="9.1796875" style="76"/>
  </cols>
  <sheetData>
    <row r="1" spans="1:2646" s="69" customFormat="1" x14ac:dyDescent="0.35">
      <c r="A1" s="64" t="s">
        <v>47</v>
      </c>
      <c r="B1" s="64" t="s">
        <v>48</v>
      </c>
      <c r="C1" s="64">
        <v>1</v>
      </c>
      <c r="D1" s="64">
        <v>2</v>
      </c>
      <c r="E1" s="64">
        <v>3</v>
      </c>
      <c r="F1" s="64" t="s">
        <v>49</v>
      </c>
      <c r="G1" s="64" t="s">
        <v>50</v>
      </c>
      <c r="H1" s="64" t="s">
        <v>51</v>
      </c>
      <c r="I1" s="64" t="s">
        <v>52</v>
      </c>
      <c r="J1" s="64" t="s">
        <v>53</v>
      </c>
      <c r="K1" s="64" t="s">
        <v>54</v>
      </c>
      <c r="L1" s="64" t="s">
        <v>55</v>
      </c>
      <c r="M1" s="64" t="s">
        <v>56</v>
      </c>
      <c r="N1" s="64" t="s">
        <v>57</v>
      </c>
      <c r="O1" s="73" t="s">
        <v>58</v>
      </c>
      <c r="P1" s="64" t="s">
        <v>59</v>
      </c>
      <c r="Q1" s="64" t="s">
        <v>60</v>
      </c>
      <c r="R1" s="64" t="s">
        <v>61</v>
      </c>
      <c r="S1" s="64" t="s">
        <v>62</v>
      </c>
      <c r="T1" s="64" t="s">
        <v>63</v>
      </c>
      <c r="U1" s="64" t="s">
        <v>64</v>
      </c>
      <c r="V1" s="64" t="s">
        <v>65</v>
      </c>
      <c r="W1" s="64" t="s">
        <v>66</v>
      </c>
      <c r="X1" s="64" t="s">
        <v>67</v>
      </c>
      <c r="Y1" s="64" t="s">
        <v>68</v>
      </c>
      <c r="Z1" s="65" t="s">
        <v>69</v>
      </c>
      <c r="AA1" s="65">
        <v>1</v>
      </c>
      <c r="AB1" s="65">
        <v>2</v>
      </c>
      <c r="AC1" s="65">
        <v>3</v>
      </c>
      <c r="AD1" s="65" t="s">
        <v>49</v>
      </c>
      <c r="AE1" s="65" t="s">
        <v>50</v>
      </c>
      <c r="AF1" s="65" t="s">
        <v>51</v>
      </c>
      <c r="AG1" s="65" t="s">
        <v>70</v>
      </c>
      <c r="AH1" s="65" t="s">
        <v>71</v>
      </c>
      <c r="AI1" s="74" t="s">
        <v>72</v>
      </c>
      <c r="AJ1" s="74" t="s">
        <v>73</v>
      </c>
      <c r="AK1" s="74" t="s">
        <v>74</v>
      </c>
      <c r="AL1" s="74" t="s">
        <v>75</v>
      </c>
      <c r="AM1" s="74" t="s">
        <v>76</v>
      </c>
      <c r="AN1" s="74" t="s">
        <v>77</v>
      </c>
      <c r="AO1" s="74" t="s">
        <v>78</v>
      </c>
      <c r="AP1" s="74" t="s">
        <v>79</v>
      </c>
      <c r="AQ1" s="74" t="s">
        <v>80</v>
      </c>
      <c r="AR1" s="74" t="s">
        <v>81</v>
      </c>
      <c r="AS1" s="74" t="s">
        <v>82</v>
      </c>
      <c r="AT1" s="74" t="s">
        <v>83</v>
      </c>
      <c r="AU1" s="74" t="s">
        <v>84</v>
      </c>
      <c r="AV1" s="74" t="s">
        <v>85</v>
      </c>
      <c r="AW1" s="74" t="s">
        <v>86</v>
      </c>
      <c r="AX1" s="74" t="s">
        <v>87</v>
      </c>
      <c r="AY1" s="74" t="s">
        <v>88</v>
      </c>
      <c r="AZ1" s="74" t="s">
        <v>89</v>
      </c>
      <c r="BA1" s="74" t="s">
        <v>90</v>
      </c>
      <c r="BB1" s="75" t="s">
        <v>91</v>
      </c>
      <c r="BC1" s="75" t="s">
        <v>92</v>
      </c>
      <c r="BD1" s="63" t="s">
        <v>93</v>
      </c>
      <c r="BE1" s="64">
        <v>1</v>
      </c>
      <c r="BF1" s="64">
        <v>2</v>
      </c>
      <c r="BG1" s="64">
        <v>3</v>
      </c>
      <c r="BH1" s="65">
        <v>1</v>
      </c>
      <c r="BI1" s="65">
        <v>2</v>
      </c>
      <c r="BJ1" s="65">
        <v>3</v>
      </c>
      <c r="BK1" s="64" t="s">
        <v>94</v>
      </c>
      <c r="BL1" s="64" t="s">
        <v>95</v>
      </c>
      <c r="BM1" s="64" t="s">
        <v>96</v>
      </c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6" t="s">
        <v>97</v>
      </c>
      <c r="CX1" s="66" t="s">
        <v>62</v>
      </c>
      <c r="CY1" s="66" t="s">
        <v>63</v>
      </c>
      <c r="CZ1" s="67" t="s">
        <v>64</v>
      </c>
      <c r="DA1" s="66" t="s">
        <v>65</v>
      </c>
      <c r="DB1" s="67" t="s">
        <v>98</v>
      </c>
      <c r="DC1" s="67" t="s">
        <v>99</v>
      </c>
      <c r="DD1" s="67" t="s">
        <v>100</v>
      </c>
      <c r="DE1" s="67" t="s">
        <v>101</v>
      </c>
      <c r="DF1" s="67" t="s">
        <v>102</v>
      </c>
      <c r="DG1" s="67" t="s">
        <v>98</v>
      </c>
      <c r="DH1" s="67" t="s">
        <v>99</v>
      </c>
      <c r="DI1" s="67" t="s">
        <v>100</v>
      </c>
      <c r="DJ1" s="67" t="s">
        <v>101</v>
      </c>
      <c r="DK1" s="67" t="s">
        <v>102</v>
      </c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7"/>
      <c r="VE1" s="67"/>
      <c r="VF1" s="67"/>
      <c r="VG1" s="67"/>
      <c r="VH1" s="67"/>
      <c r="VI1" s="67"/>
      <c r="VJ1" s="67"/>
      <c r="VK1" s="67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67"/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  <c r="XM1" s="67"/>
      <c r="XN1" s="67"/>
      <c r="XO1" s="67"/>
      <c r="XP1" s="67"/>
      <c r="XQ1" s="67"/>
      <c r="XR1" s="67"/>
      <c r="XS1" s="67"/>
      <c r="XT1" s="67"/>
      <c r="XU1" s="67"/>
      <c r="XV1" s="67"/>
      <c r="XW1" s="67"/>
      <c r="XX1" s="67"/>
      <c r="XY1" s="67"/>
      <c r="XZ1" s="67"/>
      <c r="YA1" s="67"/>
      <c r="YB1" s="67"/>
      <c r="YC1" s="67"/>
      <c r="YD1" s="67"/>
      <c r="YE1" s="67"/>
      <c r="YF1" s="67"/>
      <c r="YG1" s="67"/>
      <c r="YH1" s="67"/>
      <c r="YI1" s="67"/>
      <c r="YJ1" s="67"/>
      <c r="YK1" s="67"/>
      <c r="YL1" s="67"/>
      <c r="YM1" s="67"/>
      <c r="YN1" s="67"/>
      <c r="YO1" s="67"/>
      <c r="YP1" s="67"/>
      <c r="YQ1" s="67"/>
      <c r="YR1" s="67"/>
      <c r="YS1" s="67"/>
      <c r="YT1" s="67"/>
      <c r="YU1" s="67"/>
      <c r="YV1" s="67"/>
      <c r="YW1" s="67"/>
      <c r="YX1" s="67"/>
      <c r="YY1" s="67"/>
      <c r="YZ1" s="67"/>
      <c r="ZA1" s="67"/>
      <c r="ZB1" s="67"/>
      <c r="ZC1" s="67"/>
      <c r="ZD1" s="67"/>
      <c r="ZE1" s="67"/>
      <c r="ZF1" s="67"/>
      <c r="ZG1" s="67"/>
      <c r="ZH1" s="67"/>
      <c r="ZI1" s="67"/>
      <c r="ZJ1" s="67"/>
      <c r="ZK1" s="67"/>
      <c r="ZL1" s="67"/>
      <c r="ZM1" s="67"/>
      <c r="ZN1" s="67"/>
      <c r="ZO1" s="67"/>
      <c r="ZP1" s="67"/>
      <c r="ZQ1" s="67"/>
      <c r="ZR1" s="67"/>
      <c r="ZS1" s="67"/>
      <c r="ZT1" s="67"/>
      <c r="ZU1" s="67"/>
      <c r="ZV1" s="67"/>
      <c r="ZW1" s="67"/>
      <c r="ZX1" s="67"/>
      <c r="ZY1" s="67"/>
      <c r="ZZ1" s="67"/>
      <c r="AAA1" s="67"/>
      <c r="AAB1" s="67"/>
      <c r="AAC1" s="67"/>
      <c r="AAD1" s="67"/>
      <c r="AAE1" s="67"/>
      <c r="AAF1" s="67"/>
      <c r="AAG1" s="67"/>
      <c r="AAH1" s="67"/>
      <c r="AAI1" s="67"/>
      <c r="AAJ1" s="67"/>
      <c r="AAK1" s="67"/>
      <c r="AAL1" s="67"/>
      <c r="AAM1" s="67"/>
      <c r="AAN1" s="67"/>
      <c r="AAO1" s="67"/>
      <c r="AAP1" s="67"/>
      <c r="AAQ1" s="67"/>
      <c r="AAR1" s="67"/>
      <c r="AAS1" s="67"/>
      <c r="AAT1" s="67"/>
      <c r="AAU1" s="67"/>
      <c r="AAV1" s="67"/>
      <c r="AAW1" s="67"/>
      <c r="AAX1" s="67"/>
      <c r="AAY1" s="67"/>
      <c r="AAZ1" s="67"/>
      <c r="ABA1" s="67"/>
      <c r="ABB1" s="67"/>
      <c r="ABC1" s="67"/>
      <c r="ABD1" s="67"/>
      <c r="ABE1" s="67"/>
      <c r="ABF1" s="67"/>
      <c r="ABG1" s="67"/>
      <c r="ABH1" s="67"/>
      <c r="ABI1" s="67"/>
      <c r="ABJ1" s="67"/>
      <c r="ABK1" s="67"/>
      <c r="ABL1" s="67"/>
      <c r="ABM1" s="67"/>
      <c r="ABN1" s="67"/>
      <c r="ABO1" s="67"/>
      <c r="ABP1" s="67"/>
      <c r="ABQ1" s="67"/>
      <c r="ABR1" s="67"/>
      <c r="ABS1" s="67"/>
      <c r="ABT1" s="67"/>
      <c r="ABU1" s="67"/>
      <c r="ABV1" s="67"/>
      <c r="ABW1" s="67"/>
      <c r="ABX1" s="67"/>
      <c r="ABY1" s="67"/>
      <c r="ABZ1" s="67"/>
      <c r="ACA1" s="67"/>
      <c r="ACB1" s="67"/>
      <c r="ACC1" s="67"/>
      <c r="ACD1" s="67"/>
      <c r="ACE1" s="67"/>
      <c r="ACF1" s="67"/>
      <c r="ACG1" s="67"/>
      <c r="ACH1" s="67"/>
      <c r="ACI1" s="67"/>
      <c r="ACJ1" s="67"/>
      <c r="ACK1" s="67"/>
      <c r="ACL1" s="67"/>
      <c r="ACM1" s="67"/>
      <c r="ACN1" s="67"/>
      <c r="ACO1" s="67"/>
      <c r="ACP1" s="67"/>
      <c r="ACQ1" s="67"/>
      <c r="ACR1" s="67"/>
      <c r="ACS1" s="67"/>
      <c r="ACT1" s="67"/>
      <c r="ACU1" s="67"/>
      <c r="ACV1" s="67"/>
      <c r="ACW1" s="67"/>
      <c r="ACX1" s="67"/>
      <c r="ACY1" s="67"/>
      <c r="ACZ1" s="67"/>
      <c r="ADA1" s="67"/>
      <c r="ADB1" s="67"/>
      <c r="ADC1" s="67"/>
      <c r="ADD1" s="67"/>
      <c r="ADE1" s="67"/>
      <c r="ADF1" s="67"/>
      <c r="ADG1" s="67"/>
      <c r="ADH1" s="67"/>
      <c r="ADI1" s="67"/>
      <c r="ADJ1" s="67"/>
      <c r="ADK1" s="67"/>
      <c r="ADL1" s="67"/>
      <c r="ADM1" s="67"/>
      <c r="ADN1" s="67"/>
      <c r="ADO1" s="67"/>
      <c r="ADP1" s="67"/>
      <c r="ADQ1" s="67"/>
      <c r="ADR1" s="67"/>
      <c r="ADS1" s="67"/>
      <c r="ADT1" s="67"/>
      <c r="ADU1" s="67"/>
      <c r="ADV1" s="67"/>
      <c r="ADW1" s="67"/>
      <c r="ADX1" s="67"/>
      <c r="ADY1" s="67"/>
      <c r="ADZ1" s="67"/>
      <c r="AEA1" s="67"/>
      <c r="AEB1" s="67"/>
      <c r="AEC1" s="67"/>
      <c r="AED1" s="67"/>
      <c r="AEE1" s="67"/>
      <c r="AEF1" s="67"/>
      <c r="AEG1" s="67"/>
      <c r="AEH1" s="67"/>
      <c r="AEI1" s="67"/>
      <c r="AEJ1" s="67"/>
      <c r="AEK1" s="67"/>
      <c r="AEL1" s="67"/>
      <c r="AEM1" s="67"/>
      <c r="AEN1" s="67"/>
      <c r="AEO1" s="67"/>
      <c r="AEP1" s="67"/>
      <c r="AEQ1" s="67"/>
      <c r="AER1" s="67"/>
      <c r="AES1" s="67"/>
      <c r="AET1" s="67"/>
      <c r="AEU1" s="67"/>
      <c r="AEV1" s="67"/>
      <c r="AEW1" s="67"/>
      <c r="AEX1" s="67"/>
      <c r="AEY1" s="67"/>
      <c r="AEZ1" s="67"/>
      <c r="AFA1" s="67"/>
      <c r="AFB1" s="67"/>
      <c r="AFC1" s="67"/>
      <c r="AFD1" s="67"/>
      <c r="AFE1" s="67"/>
      <c r="AFF1" s="67"/>
      <c r="AFG1" s="67"/>
      <c r="AFH1" s="67"/>
      <c r="AFI1" s="67"/>
      <c r="AFJ1" s="67"/>
      <c r="AFK1" s="67"/>
      <c r="AFL1" s="67"/>
      <c r="AFM1" s="67"/>
      <c r="AFN1" s="67"/>
      <c r="AFO1" s="67"/>
      <c r="AFP1" s="67"/>
      <c r="AFQ1" s="67"/>
      <c r="AFR1" s="67"/>
      <c r="AFS1" s="67"/>
      <c r="AFT1" s="67"/>
      <c r="AFU1" s="67"/>
      <c r="AFV1" s="67"/>
      <c r="AFW1" s="67"/>
      <c r="AFX1" s="67"/>
      <c r="AFY1" s="67"/>
      <c r="AFZ1" s="67"/>
      <c r="AGA1" s="67"/>
      <c r="AGB1" s="67"/>
      <c r="AGC1" s="67"/>
      <c r="AGD1" s="67"/>
      <c r="AGE1" s="67"/>
      <c r="AGF1" s="67"/>
      <c r="AGG1" s="67"/>
      <c r="AGH1" s="67"/>
      <c r="AGI1" s="67"/>
      <c r="AGJ1" s="67"/>
      <c r="AGK1" s="67"/>
      <c r="AGL1" s="67"/>
      <c r="AGM1" s="67"/>
      <c r="AGN1" s="67"/>
      <c r="AGO1" s="67"/>
      <c r="AGP1" s="67"/>
      <c r="AGQ1" s="67"/>
      <c r="AGR1" s="67"/>
      <c r="AGS1" s="67"/>
      <c r="AGT1" s="67"/>
      <c r="AGU1" s="67"/>
      <c r="AGV1" s="67"/>
      <c r="AGW1" s="67"/>
      <c r="AGX1" s="67"/>
      <c r="AGY1" s="67"/>
      <c r="AGZ1" s="67"/>
      <c r="AHA1" s="67"/>
      <c r="AHB1" s="67"/>
      <c r="AHC1" s="67"/>
      <c r="AHD1" s="67"/>
      <c r="AHE1" s="67"/>
      <c r="AHF1" s="67"/>
      <c r="AHG1" s="67"/>
      <c r="AHH1" s="67"/>
      <c r="AHI1" s="67"/>
      <c r="AHJ1" s="67"/>
      <c r="AHK1" s="67"/>
      <c r="AHL1" s="67"/>
      <c r="AHM1" s="67"/>
      <c r="AHN1" s="67"/>
      <c r="AHO1" s="67"/>
      <c r="AHP1" s="67"/>
      <c r="AHQ1" s="67"/>
      <c r="AHR1" s="67"/>
      <c r="AHS1" s="67"/>
      <c r="AHT1" s="67"/>
      <c r="AHU1" s="67"/>
      <c r="AHV1" s="67"/>
      <c r="AHW1" s="67"/>
      <c r="AHX1" s="67"/>
      <c r="AHY1" s="67"/>
      <c r="AHZ1" s="67"/>
      <c r="AIA1" s="67"/>
      <c r="AIB1" s="67"/>
      <c r="AIC1" s="67"/>
      <c r="AID1" s="67"/>
      <c r="AIE1" s="67"/>
      <c r="AIF1" s="67"/>
      <c r="AIG1" s="67"/>
      <c r="AIH1" s="67"/>
      <c r="AII1" s="67"/>
      <c r="AIJ1" s="67"/>
      <c r="AIK1" s="67"/>
      <c r="AIL1" s="67"/>
      <c r="AIM1" s="67"/>
      <c r="AIN1" s="67"/>
      <c r="AIO1" s="67"/>
      <c r="AIP1" s="67"/>
      <c r="AIQ1" s="67"/>
      <c r="AIR1" s="67"/>
      <c r="AIS1" s="67"/>
      <c r="AIT1" s="67"/>
      <c r="AIU1" s="67"/>
      <c r="AIV1" s="67"/>
      <c r="AIW1" s="67"/>
      <c r="AIX1" s="67"/>
      <c r="AIY1" s="67"/>
      <c r="AIZ1" s="67"/>
      <c r="AJA1" s="67"/>
      <c r="AJB1" s="67"/>
      <c r="AJC1" s="67"/>
      <c r="AJD1" s="67"/>
      <c r="AJE1" s="67"/>
      <c r="AJF1" s="67"/>
      <c r="AJG1" s="67"/>
      <c r="AJH1" s="67"/>
      <c r="AJI1" s="67"/>
      <c r="AJJ1" s="67"/>
      <c r="AJK1" s="67"/>
      <c r="AJL1" s="67"/>
      <c r="AJM1" s="67"/>
      <c r="AJN1" s="67"/>
      <c r="AJO1" s="67"/>
      <c r="AJP1" s="67"/>
      <c r="AJQ1" s="67"/>
      <c r="AJR1" s="67"/>
      <c r="AJS1" s="67"/>
      <c r="AJT1" s="67"/>
      <c r="AJU1" s="67"/>
      <c r="AJV1" s="67"/>
      <c r="AJW1" s="67"/>
      <c r="AJX1" s="67"/>
      <c r="AJY1" s="67"/>
      <c r="AJZ1" s="67"/>
      <c r="AKA1" s="67"/>
      <c r="AKB1" s="67"/>
      <c r="AKC1" s="67"/>
      <c r="AKD1" s="67"/>
      <c r="AKE1" s="67"/>
      <c r="AKF1" s="67"/>
      <c r="AKG1" s="67"/>
      <c r="AKH1" s="67"/>
      <c r="AKI1" s="67"/>
      <c r="AKJ1" s="67"/>
      <c r="AKK1" s="67"/>
      <c r="AKL1" s="67"/>
      <c r="AKM1" s="67"/>
      <c r="AKN1" s="67"/>
      <c r="AKO1" s="67"/>
      <c r="AKP1" s="67"/>
      <c r="AKQ1" s="67"/>
      <c r="AKR1" s="67"/>
      <c r="AKS1" s="67"/>
      <c r="AKT1" s="67"/>
      <c r="AKU1" s="67"/>
      <c r="AKV1" s="67"/>
      <c r="AKW1" s="67"/>
      <c r="AKX1" s="67"/>
      <c r="AKY1" s="67"/>
      <c r="AKZ1" s="67"/>
      <c r="ALA1" s="67"/>
      <c r="ALB1" s="67"/>
      <c r="ALC1" s="67"/>
      <c r="ALD1" s="67"/>
      <c r="ALE1" s="67"/>
      <c r="ALF1" s="67"/>
      <c r="ALG1" s="67"/>
      <c r="ALH1" s="67"/>
      <c r="ALI1" s="67"/>
      <c r="ALJ1" s="67"/>
      <c r="ALK1" s="67"/>
      <c r="ALL1" s="67"/>
      <c r="ALM1" s="67"/>
      <c r="ALN1" s="67"/>
      <c r="ALO1" s="67"/>
      <c r="ALP1" s="67"/>
      <c r="ALQ1" s="67"/>
      <c r="ALR1" s="67"/>
      <c r="ALS1" s="67"/>
      <c r="ALT1" s="67"/>
      <c r="ALU1" s="67"/>
      <c r="ALV1" s="67"/>
      <c r="ALW1" s="67"/>
      <c r="ALX1" s="67"/>
      <c r="ALY1" s="67"/>
      <c r="ALZ1" s="67"/>
      <c r="AMA1" s="67"/>
      <c r="AMB1" s="67"/>
      <c r="AMC1" s="67"/>
      <c r="AMD1" s="67"/>
      <c r="AME1" s="67"/>
      <c r="AMF1" s="67"/>
      <c r="AMG1" s="67"/>
      <c r="AMH1" s="67"/>
      <c r="AMI1" s="67"/>
      <c r="AMJ1" s="67"/>
      <c r="AMK1" s="67"/>
      <c r="AML1" s="67"/>
      <c r="AMM1" s="67"/>
      <c r="AMN1" s="67"/>
      <c r="AMO1" s="67"/>
      <c r="AMP1" s="67"/>
      <c r="AMQ1" s="67"/>
      <c r="AMR1" s="67"/>
      <c r="AMS1" s="67"/>
      <c r="AMT1" s="67"/>
      <c r="AMU1" s="67"/>
      <c r="AMV1" s="67"/>
      <c r="AMW1" s="67"/>
      <c r="AMX1" s="67"/>
      <c r="AMY1" s="67"/>
      <c r="AMZ1" s="67"/>
      <c r="ANA1" s="67"/>
      <c r="ANB1" s="67"/>
      <c r="ANC1" s="67"/>
      <c r="AND1" s="67"/>
      <c r="ANE1" s="67"/>
      <c r="ANF1" s="67"/>
      <c r="ANG1" s="67"/>
      <c r="ANH1" s="67"/>
      <c r="ANI1" s="67"/>
      <c r="ANJ1" s="67"/>
      <c r="ANK1" s="67"/>
      <c r="ANL1" s="67"/>
      <c r="ANM1" s="67"/>
      <c r="ANN1" s="67"/>
      <c r="ANO1" s="67"/>
      <c r="ANP1" s="67"/>
      <c r="ANQ1" s="67"/>
      <c r="ANR1" s="67"/>
      <c r="ANS1" s="67"/>
      <c r="ANT1" s="67"/>
      <c r="ANU1" s="67"/>
      <c r="ANV1" s="67"/>
      <c r="ANW1" s="67"/>
      <c r="ANX1" s="67"/>
      <c r="ANY1" s="67"/>
      <c r="ANZ1" s="67"/>
      <c r="AOA1" s="67"/>
      <c r="AOB1" s="67"/>
      <c r="AOC1" s="67"/>
      <c r="AOD1" s="67"/>
      <c r="AOE1" s="67"/>
      <c r="AOF1" s="67"/>
      <c r="AOG1" s="67"/>
      <c r="AOH1" s="67"/>
      <c r="AOI1" s="67"/>
      <c r="AOJ1" s="67"/>
      <c r="AOK1" s="67"/>
      <c r="AOL1" s="67"/>
      <c r="AOM1" s="67"/>
      <c r="AON1" s="67"/>
      <c r="AOO1" s="67"/>
      <c r="AOP1" s="67"/>
      <c r="AOQ1" s="67"/>
      <c r="AOR1" s="67"/>
      <c r="AOS1" s="67"/>
      <c r="AOT1" s="67"/>
      <c r="AOU1" s="67"/>
      <c r="AOV1" s="67"/>
      <c r="AOW1" s="67"/>
      <c r="AOX1" s="67"/>
      <c r="AOY1" s="67"/>
      <c r="AOZ1" s="67"/>
      <c r="APA1" s="67"/>
      <c r="APB1" s="67"/>
      <c r="APC1" s="67"/>
      <c r="APD1" s="67"/>
      <c r="APE1" s="67"/>
      <c r="APF1" s="67"/>
      <c r="APG1" s="67"/>
      <c r="APH1" s="67"/>
      <c r="API1" s="67"/>
      <c r="APJ1" s="67"/>
      <c r="APK1" s="67"/>
      <c r="APL1" s="67"/>
      <c r="APM1" s="67"/>
      <c r="APN1" s="67"/>
      <c r="APO1" s="67"/>
      <c r="APP1" s="67"/>
      <c r="APQ1" s="67"/>
      <c r="APR1" s="67"/>
      <c r="APS1" s="67"/>
      <c r="APT1" s="67"/>
      <c r="APU1" s="67"/>
      <c r="APV1" s="67"/>
      <c r="APW1" s="67"/>
      <c r="APX1" s="67"/>
      <c r="APY1" s="67"/>
      <c r="APZ1" s="67"/>
      <c r="AQA1" s="67"/>
      <c r="AQB1" s="67"/>
      <c r="AQC1" s="67"/>
      <c r="AQD1" s="67"/>
      <c r="AQE1" s="67"/>
      <c r="AQF1" s="67"/>
      <c r="AQG1" s="67"/>
      <c r="AQH1" s="67"/>
      <c r="AQI1" s="67"/>
      <c r="AQJ1" s="67"/>
      <c r="AQK1" s="67"/>
      <c r="AQL1" s="67"/>
      <c r="AQM1" s="67"/>
      <c r="AQN1" s="67"/>
      <c r="AQO1" s="67"/>
      <c r="AQP1" s="67"/>
      <c r="AQQ1" s="67"/>
      <c r="AQR1" s="67"/>
      <c r="AQS1" s="67"/>
      <c r="AQT1" s="67"/>
      <c r="AQU1" s="67"/>
      <c r="AQV1" s="67"/>
      <c r="AQW1" s="67"/>
      <c r="AQX1" s="67"/>
      <c r="AQY1" s="67"/>
      <c r="AQZ1" s="67"/>
      <c r="ARA1" s="67"/>
      <c r="ARB1" s="67"/>
      <c r="ARC1" s="67"/>
      <c r="ARD1" s="67"/>
      <c r="ARE1" s="67"/>
      <c r="ARF1" s="67"/>
      <c r="ARG1" s="67"/>
      <c r="ARH1" s="67"/>
      <c r="ARI1" s="67"/>
      <c r="ARJ1" s="67"/>
      <c r="ARK1" s="67"/>
      <c r="ARL1" s="67"/>
      <c r="ARM1" s="67"/>
      <c r="ARN1" s="67"/>
      <c r="ARO1" s="67"/>
      <c r="ARP1" s="67"/>
      <c r="ARQ1" s="67"/>
      <c r="ARR1" s="67"/>
      <c r="ARS1" s="67"/>
      <c r="ART1" s="67"/>
      <c r="ARU1" s="67"/>
      <c r="ARV1" s="67"/>
      <c r="ARW1" s="67"/>
      <c r="ARX1" s="67"/>
      <c r="ARY1" s="67"/>
      <c r="ARZ1" s="67"/>
      <c r="ASA1" s="67"/>
      <c r="ASB1" s="67"/>
      <c r="ASC1" s="67"/>
      <c r="ASD1" s="67"/>
      <c r="ASE1" s="67"/>
      <c r="ASF1" s="67"/>
      <c r="ASG1" s="67"/>
      <c r="ASH1" s="67"/>
      <c r="ASI1" s="67"/>
      <c r="ASJ1" s="67"/>
      <c r="ASK1" s="67"/>
      <c r="ASL1" s="67"/>
      <c r="ASM1" s="67"/>
      <c r="ASN1" s="67"/>
      <c r="ASO1" s="67"/>
      <c r="ASP1" s="67"/>
      <c r="ASQ1" s="67"/>
      <c r="ASR1" s="67"/>
      <c r="ASS1" s="67"/>
      <c r="AST1" s="67"/>
      <c r="ASU1" s="67"/>
      <c r="ASV1" s="67"/>
      <c r="ASW1" s="67"/>
      <c r="ASX1" s="67"/>
      <c r="ASY1" s="67"/>
      <c r="ASZ1" s="67"/>
      <c r="ATA1" s="67"/>
      <c r="ATB1" s="67"/>
      <c r="ATC1" s="67"/>
      <c r="ATD1" s="67"/>
      <c r="ATE1" s="67"/>
      <c r="ATF1" s="67"/>
      <c r="ATG1" s="67"/>
      <c r="ATH1" s="67"/>
      <c r="ATI1" s="67"/>
      <c r="ATJ1" s="67"/>
      <c r="ATK1" s="67"/>
      <c r="ATL1" s="67"/>
      <c r="ATM1" s="67"/>
      <c r="ATN1" s="67"/>
      <c r="ATO1" s="67"/>
      <c r="ATP1" s="67"/>
      <c r="ATQ1" s="67"/>
      <c r="ATR1" s="67"/>
      <c r="ATS1" s="67"/>
      <c r="ATT1" s="67"/>
      <c r="ATU1" s="67"/>
      <c r="ATV1" s="67"/>
      <c r="ATW1" s="67"/>
      <c r="ATX1" s="67"/>
      <c r="ATY1" s="67"/>
      <c r="ATZ1" s="67"/>
      <c r="AUA1" s="67"/>
      <c r="AUB1" s="67"/>
      <c r="AUC1" s="67"/>
      <c r="AUD1" s="67"/>
      <c r="AUE1" s="67"/>
      <c r="AUF1" s="67"/>
      <c r="AUG1" s="67"/>
      <c r="AUH1" s="67"/>
      <c r="AUI1" s="67"/>
      <c r="AUJ1" s="67"/>
      <c r="AUK1" s="67"/>
      <c r="AUL1" s="67"/>
      <c r="AUM1" s="67"/>
      <c r="AUN1" s="67"/>
      <c r="AUO1" s="67"/>
      <c r="AUP1" s="67"/>
      <c r="AUQ1" s="67"/>
      <c r="AUR1" s="67"/>
      <c r="AUS1" s="67"/>
      <c r="AUT1" s="67"/>
      <c r="AUU1" s="67"/>
      <c r="AUV1" s="67"/>
      <c r="AUW1" s="67"/>
      <c r="AUX1" s="67"/>
      <c r="AUY1" s="67"/>
      <c r="AUZ1" s="67"/>
      <c r="AVA1" s="67"/>
      <c r="AVB1" s="67"/>
      <c r="AVC1" s="67"/>
      <c r="AVD1" s="67"/>
      <c r="AVE1" s="67"/>
      <c r="AVF1" s="67"/>
      <c r="AVG1" s="67"/>
      <c r="AVH1" s="67"/>
      <c r="AVI1" s="67"/>
      <c r="AVJ1" s="67"/>
      <c r="AVK1" s="67"/>
      <c r="AVL1" s="67"/>
      <c r="AVM1" s="67"/>
      <c r="AVN1" s="67"/>
      <c r="AVO1" s="67"/>
      <c r="AVP1" s="67"/>
      <c r="AVQ1" s="67"/>
      <c r="AVR1" s="67"/>
      <c r="AVS1" s="67"/>
      <c r="AVT1" s="67"/>
      <c r="AVU1" s="67"/>
      <c r="AVV1" s="67"/>
      <c r="AVW1" s="67"/>
      <c r="AVX1" s="67"/>
      <c r="AVY1" s="67"/>
      <c r="AVZ1" s="67"/>
      <c r="AWA1" s="67"/>
      <c r="AWB1" s="67"/>
      <c r="AWC1" s="67"/>
      <c r="AWD1" s="67"/>
      <c r="AWE1" s="67"/>
      <c r="AWF1" s="67"/>
      <c r="AWG1" s="67"/>
      <c r="AWH1" s="67"/>
      <c r="AWI1" s="67"/>
      <c r="AWJ1" s="67"/>
      <c r="AWK1" s="67"/>
      <c r="AWL1" s="67"/>
      <c r="AWM1" s="67"/>
      <c r="AWN1" s="67"/>
      <c r="AWO1" s="67"/>
      <c r="AWP1" s="67"/>
      <c r="AWQ1" s="67"/>
      <c r="AWR1" s="67"/>
      <c r="AWS1" s="67"/>
      <c r="AWT1" s="67"/>
      <c r="AWU1" s="67"/>
      <c r="AWV1" s="67"/>
      <c r="AWW1" s="67"/>
      <c r="AWX1" s="67"/>
      <c r="AWY1" s="67"/>
      <c r="AWZ1" s="67"/>
      <c r="AXA1" s="67"/>
      <c r="AXB1" s="67"/>
      <c r="AXC1" s="67"/>
      <c r="AXD1" s="67"/>
      <c r="AXE1" s="67"/>
      <c r="AXF1" s="67"/>
      <c r="AXG1" s="67"/>
      <c r="AXH1" s="67"/>
      <c r="AXI1" s="67"/>
      <c r="AXJ1" s="67"/>
      <c r="AXK1" s="67"/>
      <c r="AXL1" s="67"/>
      <c r="AXM1" s="67"/>
      <c r="AXN1" s="67"/>
      <c r="AXO1" s="67"/>
      <c r="AXP1" s="67"/>
      <c r="AXQ1" s="67"/>
      <c r="AXR1" s="67"/>
      <c r="AXS1" s="67"/>
      <c r="AXT1" s="67"/>
      <c r="AXU1" s="67"/>
      <c r="AXV1" s="67"/>
      <c r="AXW1" s="67"/>
      <c r="AXX1" s="67"/>
      <c r="AXY1" s="67"/>
      <c r="AXZ1" s="67"/>
      <c r="AYA1" s="67"/>
      <c r="AYB1" s="67"/>
      <c r="AYC1" s="67"/>
      <c r="AYD1" s="67"/>
      <c r="AYE1" s="67"/>
      <c r="AYF1" s="67"/>
      <c r="AYG1" s="67"/>
      <c r="AYH1" s="67"/>
      <c r="AYI1" s="67"/>
      <c r="AYJ1" s="67"/>
      <c r="AYK1" s="67"/>
      <c r="AYL1" s="67"/>
      <c r="AYM1" s="67"/>
      <c r="AYN1" s="67"/>
      <c r="AYO1" s="67"/>
      <c r="AYP1" s="67"/>
      <c r="AYQ1" s="67"/>
      <c r="AYR1" s="67"/>
      <c r="AYS1" s="67"/>
      <c r="AYT1" s="67"/>
      <c r="AYU1" s="67"/>
      <c r="AYV1" s="67"/>
      <c r="AYW1" s="67"/>
      <c r="AYX1" s="67"/>
      <c r="AYY1" s="67"/>
      <c r="AYZ1" s="67"/>
      <c r="AZA1" s="67"/>
      <c r="AZB1" s="67"/>
      <c r="AZC1" s="67"/>
      <c r="AZD1" s="67"/>
      <c r="AZE1" s="67"/>
      <c r="AZF1" s="67"/>
      <c r="AZG1" s="67"/>
      <c r="AZH1" s="67"/>
      <c r="AZI1" s="67"/>
      <c r="AZJ1" s="67"/>
      <c r="AZK1" s="67"/>
      <c r="AZL1" s="67"/>
      <c r="AZM1" s="67"/>
      <c r="AZN1" s="67"/>
      <c r="AZO1" s="67"/>
      <c r="AZP1" s="67"/>
      <c r="AZQ1" s="67"/>
      <c r="AZR1" s="67"/>
      <c r="AZS1" s="67"/>
      <c r="AZT1" s="67"/>
      <c r="AZU1" s="67"/>
      <c r="AZV1" s="67"/>
      <c r="AZW1" s="67"/>
      <c r="AZX1" s="67"/>
      <c r="AZY1" s="67"/>
      <c r="AZZ1" s="67"/>
      <c r="BAA1" s="67"/>
      <c r="BAB1" s="67"/>
      <c r="BAC1" s="67"/>
      <c r="BAD1" s="67"/>
      <c r="BAE1" s="67"/>
      <c r="BAF1" s="67"/>
      <c r="BAG1" s="67"/>
      <c r="BAH1" s="67"/>
      <c r="BAI1" s="67"/>
      <c r="BAJ1" s="67"/>
      <c r="BAK1" s="67"/>
      <c r="BAL1" s="67"/>
      <c r="BAM1" s="67"/>
      <c r="BAN1" s="67"/>
      <c r="BAO1" s="67"/>
      <c r="BAP1" s="67"/>
      <c r="BAQ1" s="67"/>
      <c r="BAR1" s="67"/>
      <c r="BAS1" s="67"/>
      <c r="BAT1" s="67"/>
      <c r="BAU1" s="67"/>
      <c r="BAV1" s="67"/>
      <c r="BAW1" s="67"/>
      <c r="BAX1" s="67"/>
      <c r="BAY1" s="67"/>
      <c r="BAZ1" s="67"/>
      <c r="BBA1" s="67"/>
      <c r="BBB1" s="67"/>
      <c r="BBC1" s="67"/>
      <c r="BBD1" s="67"/>
      <c r="BBE1" s="67"/>
      <c r="BBF1" s="67"/>
      <c r="BBG1" s="67"/>
      <c r="BBH1" s="67"/>
      <c r="BBI1" s="67"/>
      <c r="BBJ1" s="67"/>
      <c r="BBK1" s="67"/>
      <c r="BBL1" s="67"/>
      <c r="BBM1" s="67"/>
      <c r="BBN1" s="67"/>
      <c r="BBO1" s="67"/>
      <c r="BBP1" s="67"/>
      <c r="BBQ1" s="67"/>
      <c r="BBR1" s="67"/>
      <c r="BBS1" s="67"/>
      <c r="BBT1" s="67"/>
      <c r="BBU1" s="67"/>
      <c r="BBV1" s="67"/>
      <c r="BBW1" s="67"/>
      <c r="BBX1" s="67"/>
      <c r="BBY1" s="67"/>
      <c r="BBZ1" s="67"/>
      <c r="BCA1" s="67"/>
      <c r="BCB1" s="67"/>
      <c r="BCC1" s="67"/>
      <c r="BCD1" s="67"/>
      <c r="BCE1" s="67"/>
      <c r="BCF1" s="67"/>
      <c r="BCG1" s="67"/>
      <c r="BCH1" s="67"/>
      <c r="BCI1" s="67"/>
      <c r="BCJ1" s="67"/>
      <c r="BCK1" s="67"/>
      <c r="BCL1" s="67"/>
      <c r="BCM1" s="67"/>
      <c r="BCN1" s="67"/>
      <c r="BCO1" s="67"/>
      <c r="BCP1" s="67"/>
      <c r="BCQ1" s="67"/>
      <c r="BCR1" s="67"/>
      <c r="BCS1" s="67"/>
      <c r="BCT1" s="67"/>
      <c r="BCU1" s="67"/>
      <c r="BCV1" s="67"/>
      <c r="BCW1" s="67"/>
      <c r="BCX1" s="67"/>
      <c r="BCY1" s="67"/>
      <c r="BCZ1" s="67"/>
      <c r="BDA1" s="67"/>
      <c r="BDB1" s="67"/>
      <c r="BDC1" s="67"/>
      <c r="BDD1" s="67"/>
      <c r="BDE1" s="67"/>
      <c r="BDF1" s="67"/>
      <c r="BDG1" s="67"/>
      <c r="BDH1" s="67"/>
      <c r="BDI1" s="67"/>
      <c r="BDJ1" s="67"/>
      <c r="BDK1" s="67"/>
      <c r="BDL1" s="67"/>
      <c r="BDM1" s="67"/>
      <c r="BDN1" s="67"/>
      <c r="BDO1" s="67"/>
      <c r="BDP1" s="67"/>
      <c r="BDQ1" s="67"/>
      <c r="BDR1" s="67"/>
      <c r="BDS1" s="67"/>
      <c r="BDT1" s="67"/>
      <c r="BDU1" s="67"/>
      <c r="BDV1" s="67"/>
      <c r="BDW1" s="67"/>
      <c r="BDX1" s="67"/>
      <c r="BDY1" s="67"/>
      <c r="BDZ1" s="67"/>
      <c r="BEA1" s="67"/>
      <c r="BEB1" s="67"/>
      <c r="BEC1" s="67"/>
      <c r="BED1" s="67"/>
      <c r="BEE1" s="67"/>
      <c r="BEF1" s="67"/>
      <c r="BEG1" s="67"/>
      <c r="BEH1" s="67"/>
      <c r="BEI1" s="67"/>
      <c r="BEJ1" s="67"/>
      <c r="BEK1" s="67"/>
      <c r="BEL1" s="67"/>
      <c r="BEM1" s="67"/>
      <c r="BEN1" s="67"/>
      <c r="BEO1" s="67"/>
      <c r="BEP1" s="67"/>
      <c r="BEQ1" s="67"/>
      <c r="BER1" s="67"/>
      <c r="BES1" s="66" t="s">
        <v>103</v>
      </c>
      <c r="BET1" s="66" t="s">
        <v>62</v>
      </c>
      <c r="BEU1" s="66" t="s">
        <v>63</v>
      </c>
      <c r="BEV1" s="67" t="s">
        <v>64</v>
      </c>
      <c r="BEW1" s="66" t="s">
        <v>65</v>
      </c>
      <c r="BEX1" s="67" t="s">
        <v>101</v>
      </c>
      <c r="BEY1" s="67"/>
      <c r="BEZ1" s="67"/>
      <c r="BFA1" s="67"/>
      <c r="BFB1" s="67"/>
      <c r="BFC1" s="67"/>
      <c r="BFD1" s="67"/>
      <c r="BFE1" s="67"/>
      <c r="BFF1" s="67"/>
      <c r="BFG1" s="67"/>
      <c r="BFH1" s="67"/>
      <c r="BFI1" s="67"/>
      <c r="BFJ1" s="67"/>
      <c r="BFK1" s="67"/>
      <c r="BFL1" s="67"/>
      <c r="BFM1" s="67"/>
      <c r="BFN1" s="67"/>
      <c r="BFO1" s="67"/>
      <c r="BFP1" s="67"/>
      <c r="BFQ1" s="67"/>
      <c r="BFR1" s="67"/>
      <c r="BFS1" s="67"/>
      <c r="BFT1" s="67"/>
      <c r="BFU1" s="67"/>
      <c r="BFV1" s="67"/>
      <c r="BFW1" s="67"/>
      <c r="BFX1" s="67"/>
      <c r="BFY1" s="67"/>
      <c r="BFZ1" s="67"/>
      <c r="BGA1" s="67"/>
      <c r="BGB1" s="67"/>
      <c r="BGC1" s="67"/>
      <c r="BGD1" s="67"/>
      <c r="BGE1" s="67"/>
      <c r="BGF1" s="67"/>
      <c r="BGG1" s="67"/>
      <c r="BGH1" s="67"/>
      <c r="BGI1" s="67"/>
      <c r="BGJ1" s="67"/>
      <c r="BGK1" s="67"/>
      <c r="BGL1" s="67"/>
      <c r="BGM1" s="67"/>
      <c r="BGN1" s="67"/>
      <c r="BGO1" s="67"/>
      <c r="BGP1" s="67"/>
      <c r="BGQ1" s="67"/>
      <c r="BGR1" s="67"/>
      <c r="BGS1" s="67"/>
      <c r="BGT1" s="67"/>
      <c r="BGU1" s="67"/>
      <c r="BGV1" s="67"/>
      <c r="BGW1" s="67"/>
      <c r="BGX1" s="67"/>
      <c r="BGY1" s="67"/>
      <c r="BGZ1" s="67"/>
      <c r="BHA1" s="67"/>
      <c r="BHB1" s="67"/>
      <c r="BHC1" s="67"/>
      <c r="BHD1" s="67"/>
      <c r="BHE1" s="67"/>
      <c r="BHF1" s="67"/>
      <c r="BHG1" s="67"/>
      <c r="BHH1" s="67"/>
      <c r="BHI1" s="67"/>
      <c r="BHJ1" s="67"/>
      <c r="BHK1" s="67"/>
      <c r="BHL1" s="67"/>
      <c r="BHM1" s="67"/>
      <c r="BHN1" s="67"/>
      <c r="BHO1" s="67"/>
      <c r="BHP1" s="67"/>
      <c r="BHQ1" s="67"/>
      <c r="BHR1" s="67"/>
      <c r="BHS1" s="67"/>
      <c r="BHT1" s="67"/>
      <c r="BHU1" s="67"/>
      <c r="BHV1" s="67"/>
      <c r="BHW1" s="67"/>
      <c r="BHX1" s="67"/>
      <c r="BHY1" s="67"/>
      <c r="BHZ1" s="67"/>
      <c r="BIA1" s="67"/>
      <c r="BIB1" s="67"/>
      <c r="BIC1" s="67"/>
      <c r="BID1" s="67"/>
      <c r="BIE1" s="67"/>
      <c r="BIF1" s="67"/>
      <c r="BIG1" s="67"/>
      <c r="BIH1" s="67"/>
      <c r="BII1" s="67"/>
      <c r="BIJ1" s="67"/>
      <c r="BIK1" s="67"/>
      <c r="BIL1" s="67"/>
      <c r="BIM1" s="67"/>
      <c r="BIN1" s="67"/>
      <c r="BIO1" s="66" t="s">
        <v>104</v>
      </c>
      <c r="BIP1" s="66" t="s">
        <v>48</v>
      </c>
      <c r="BIQ1" s="66" t="s">
        <v>105</v>
      </c>
      <c r="BIR1" s="66" t="s">
        <v>106</v>
      </c>
      <c r="BIS1" s="67" t="s">
        <v>107</v>
      </c>
      <c r="BIT1" s="66" t="s">
        <v>108</v>
      </c>
      <c r="BIU1" s="66" t="s">
        <v>109</v>
      </c>
      <c r="BIV1" s="66" t="s">
        <v>110</v>
      </c>
      <c r="BIW1" s="66" t="s">
        <v>52</v>
      </c>
      <c r="BIX1" s="66" t="s">
        <v>53</v>
      </c>
      <c r="BIY1" s="51" t="s">
        <v>111</v>
      </c>
      <c r="BIZ1" s="51" t="s">
        <v>112</v>
      </c>
      <c r="BJA1" s="51" t="s">
        <v>113</v>
      </c>
      <c r="BJB1" s="51" t="s">
        <v>114</v>
      </c>
      <c r="BJC1" s="68" t="s">
        <v>115</v>
      </c>
      <c r="BJD1" s="66" t="s">
        <v>116</v>
      </c>
      <c r="BJE1" s="66" t="s">
        <v>117</v>
      </c>
      <c r="BJF1" s="66" t="s">
        <v>118</v>
      </c>
      <c r="BJG1" s="66" t="s">
        <v>62</v>
      </c>
      <c r="BJH1" s="66" t="s">
        <v>63</v>
      </c>
      <c r="BJI1" s="66" t="s">
        <v>64</v>
      </c>
      <c r="BJJ1" s="66" t="s">
        <v>65</v>
      </c>
      <c r="BJK1" s="67" t="s">
        <v>119</v>
      </c>
      <c r="BJL1" s="67" t="s">
        <v>120</v>
      </c>
      <c r="BJM1" s="67"/>
      <c r="BJN1" s="67"/>
      <c r="BJO1" s="67"/>
      <c r="BJP1" s="67"/>
      <c r="BJQ1" s="67"/>
      <c r="BJR1" s="67"/>
      <c r="BJS1" s="67"/>
      <c r="BJT1" s="67"/>
      <c r="BJU1" s="67"/>
      <c r="BJV1" s="67"/>
      <c r="BJW1" s="67"/>
      <c r="BJX1" s="67"/>
      <c r="BJY1" s="67"/>
      <c r="BJZ1" s="67"/>
      <c r="BKA1" s="67"/>
      <c r="BKB1" s="67"/>
      <c r="BKC1" s="67"/>
      <c r="BKD1" s="67"/>
      <c r="BKE1" s="67"/>
      <c r="BKF1" s="67"/>
      <c r="BKG1" s="67"/>
      <c r="BKH1" s="67"/>
      <c r="BKI1" s="67"/>
      <c r="BKJ1" s="67"/>
      <c r="BKK1" s="67"/>
      <c r="BKL1" s="67"/>
      <c r="BKM1" s="67"/>
      <c r="BKN1" s="67"/>
      <c r="BKO1" s="67"/>
      <c r="BKP1" s="67"/>
      <c r="BKQ1" s="67"/>
      <c r="BKR1" s="67"/>
      <c r="BKS1" s="67"/>
      <c r="BKT1" s="67"/>
      <c r="BKU1" s="67"/>
      <c r="BKV1" s="67"/>
      <c r="BKW1" s="67"/>
      <c r="BKX1" s="67"/>
      <c r="BKY1" s="67"/>
      <c r="BKZ1" s="67"/>
      <c r="BLA1" s="67"/>
      <c r="BLB1" s="67"/>
      <c r="BLC1" s="67"/>
      <c r="BLD1" s="67"/>
      <c r="BLE1" s="67"/>
      <c r="BLF1" s="67"/>
      <c r="BLG1" s="67"/>
      <c r="BLH1" s="67"/>
      <c r="BLI1" s="67"/>
      <c r="BLJ1" s="67"/>
      <c r="BLK1" s="67"/>
      <c r="BLL1" s="67"/>
      <c r="BLM1" s="67"/>
      <c r="BLN1" s="67"/>
      <c r="BLO1" s="67"/>
      <c r="BLP1" s="67"/>
      <c r="BLQ1" s="67"/>
      <c r="BLR1" s="67"/>
      <c r="BLS1" s="67"/>
      <c r="BLT1" s="67"/>
      <c r="BLU1" s="67"/>
      <c r="BLV1" s="67"/>
      <c r="BLW1" s="67"/>
      <c r="BLX1" s="67"/>
      <c r="BLY1" s="67"/>
      <c r="BLZ1" s="67"/>
      <c r="BMA1" s="67"/>
      <c r="BMB1" s="67"/>
      <c r="BMC1" s="67"/>
      <c r="BMD1" s="67"/>
      <c r="BME1" s="67"/>
      <c r="BMF1" s="67"/>
      <c r="BMG1" s="67"/>
      <c r="BMH1" s="67"/>
      <c r="BMI1" s="67"/>
      <c r="BMJ1" s="67"/>
      <c r="BMK1" s="67"/>
      <c r="BML1" s="67"/>
      <c r="BMM1" s="67"/>
      <c r="BMN1" s="67"/>
      <c r="BMO1" s="67"/>
      <c r="BMP1" s="67"/>
      <c r="BMQ1" s="67"/>
      <c r="BMR1" s="67"/>
      <c r="BMS1" s="67"/>
      <c r="BMT1" s="67"/>
      <c r="BMU1" s="67"/>
      <c r="BMV1" s="67"/>
      <c r="BMW1" s="67"/>
      <c r="BMX1" s="67"/>
      <c r="BMY1" s="67"/>
      <c r="BMZ1" s="67"/>
      <c r="BNA1" s="67"/>
      <c r="BNB1" s="67"/>
      <c r="BNC1" s="67"/>
      <c r="BND1" s="67"/>
      <c r="BNE1" s="67"/>
      <c r="BNF1" s="67"/>
      <c r="BNG1" s="67"/>
      <c r="BNH1" s="67"/>
      <c r="BNI1" s="67"/>
      <c r="BNJ1" s="67"/>
      <c r="BNK1" s="67"/>
      <c r="BNL1" s="67"/>
      <c r="BNM1" s="67"/>
      <c r="BNN1" s="67"/>
      <c r="BNO1" s="67"/>
      <c r="BNP1" s="67"/>
      <c r="BNQ1" s="67"/>
      <c r="BNR1" s="67"/>
      <c r="BNS1" s="67"/>
      <c r="BNT1" s="67"/>
      <c r="BNU1" s="67"/>
      <c r="BNV1" s="67"/>
      <c r="BNW1" s="67"/>
      <c r="BNX1" s="67"/>
      <c r="BNY1" s="67"/>
      <c r="BNZ1" s="67"/>
      <c r="BOA1" s="67"/>
      <c r="BOB1" s="67"/>
      <c r="BOC1" s="67"/>
      <c r="BOD1" s="67"/>
      <c r="BOE1" s="67"/>
      <c r="BOF1" s="67"/>
      <c r="BOG1" s="67"/>
      <c r="BOH1" s="67"/>
      <c r="BOI1" s="67"/>
      <c r="BOJ1" s="67"/>
      <c r="BOK1" s="67"/>
      <c r="BOL1" s="67"/>
      <c r="BOM1" s="67"/>
      <c r="BON1" s="67"/>
      <c r="BOO1" s="67"/>
      <c r="BOP1" s="67"/>
      <c r="BOQ1" s="67"/>
      <c r="BOR1" s="67"/>
      <c r="BOS1" s="67"/>
      <c r="BOT1" s="67"/>
      <c r="BOU1" s="67"/>
      <c r="BOV1" s="67"/>
      <c r="BOW1" s="67"/>
      <c r="BOX1" s="67"/>
      <c r="BOY1" s="67"/>
      <c r="BOZ1" s="67"/>
      <c r="BPA1" s="67"/>
      <c r="BPB1" s="67"/>
      <c r="BPC1" s="67"/>
      <c r="BPD1" s="67"/>
      <c r="BPE1" s="67"/>
      <c r="BPF1" s="67"/>
      <c r="BPG1" s="67"/>
      <c r="BPH1" s="67"/>
      <c r="BPI1" s="67"/>
      <c r="BPJ1" s="67"/>
      <c r="BPK1" s="67"/>
      <c r="BPL1" s="67"/>
      <c r="BPM1" s="67"/>
      <c r="BPN1" s="67"/>
      <c r="BPO1" s="67"/>
      <c r="BPP1" s="67"/>
      <c r="BPQ1" s="67"/>
      <c r="BPR1" s="67"/>
      <c r="BPS1" s="67"/>
      <c r="BPT1" s="67"/>
      <c r="BPU1" s="67"/>
      <c r="BPV1" s="67"/>
      <c r="BPW1" s="67"/>
      <c r="BPX1" s="67"/>
      <c r="BPY1" s="67"/>
      <c r="BPZ1" s="67"/>
      <c r="BQA1" s="67"/>
      <c r="BQB1" s="67"/>
      <c r="BQC1" s="67"/>
      <c r="BQD1" s="67"/>
      <c r="BQE1" s="67"/>
      <c r="BQF1" s="67"/>
      <c r="BQG1" s="67"/>
      <c r="BQH1" s="67"/>
      <c r="BQI1" s="67"/>
      <c r="BQJ1" s="67"/>
      <c r="BQK1" s="67"/>
      <c r="BQL1" s="67"/>
      <c r="BQM1" s="67"/>
      <c r="BQN1" s="67"/>
      <c r="BQO1" s="67"/>
      <c r="BQP1" s="67"/>
      <c r="BQQ1" s="67"/>
      <c r="BQR1" s="67"/>
      <c r="BQS1" s="67"/>
      <c r="BQT1" s="67"/>
      <c r="BQU1" s="67"/>
      <c r="BQV1" s="67"/>
      <c r="BQW1" s="67"/>
      <c r="BQX1" s="67"/>
      <c r="BQY1" s="67"/>
      <c r="BQZ1" s="67"/>
      <c r="BRA1" s="67"/>
      <c r="BRB1" s="67"/>
      <c r="BRC1" s="67"/>
      <c r="BRD1" s="67"/>
      <c r="BRE1" s="67"/>
      <c r="BRF1" s="67"/>
      <c r="BRG1" s="67"/>
      <c r="BRH1" s="67"/>
      <c r="BRI1" s="67"/>
      <c r="BRJ1" s="67"/>
      <c r="BRK1" s="67"/>
      <c r="BRL1" s="67"/>
      <c r="BRM1" s="67"/>
      <c r="BRN1" s="67"/>
      <c r="BRO1" s="67"/>
      <c r="BRP1" s="67"/>
      <c r="BRQ1" s="67"/>
      <c r="BRR1" s="67"/>
      <c r="BRS1" s="67"/>
      <c r="BRT1" s="67"/>
      <c r="BRU1" s="67"/>
      <c r="BRV1" s="67"/>
      <c r="BRW1" s="67"/>
      <c r="BRX1" s="67"/>
      <c r="BRY1" s="67"/>
      <c r="BRZ1" s="67"/>
      <c r="BSA1" s="67"/>
      <c r="BSB1" s="67"/>
      <c r="BSC1" s="67"/>
      <c r="BSD1" s="67"/>
      <c r="BSE1" s="67"/>
      <c r="BSF1" s="67"/>
      <c r="BSG1" s="67"/>
      <c r="BSH1" s="67"/>
      <c r="BSI1" s="67"/>
      <c r="BSJ1" s="67"/>
      <c r="BSK1" s="67"/>
      <c r="BSL1" s="67"/>
      <c r="BSM1" s="67"/>
      <c r="BSN1" s="67"/>
      <c r="BSO1" s="67"/>
      <c r="BSP1" s="67"/>
      <c r="BSQ1" s="67"/>
      <c r="BSR1" s="67"/>
      <c r="BSS1" s="67"/>
      <c r="BST1" s="67"/>
      <c r="BSU1" s="67"/>
      <c r="BSV1" s="67"/>
      <c r="BSW1" s="67"/>
      <c r="BSX1" s="67"/>
      <c r="BSY1" s="67"/>
      <c r="BSZ1" s="67"/>
      <c r="BTA1" s="67"/>
      <c r="BTB1" s="67"/>
      <c r="BTC1" s="67"/>
      <c r="BTD1" s="67"/>
      <c r="BTE1" s="67"/>
      <c r="BTF1" s="67"/>
      <c r="BTG1" s="67"/>
      <c r="BTH1" s="67"/>
      <c r="BTI1" s="67"/>
      <c r="BTJ1" s="67"/>
      <c r="BTK1" s="67"/>
      <c r="BTL1" s="67"/>
      <c r="BTM1" s="67"/>
      <c r="BTN1" s="67"/>
      <c r="BTO1" s="67"/>
      <c r="BTP1" s="67"/>
      <c r="BTQ1" s="67"/>
      <c r="BTR1" s="67"/>
      <c r="BTS1" s="67"/>
      <c r="BTT1" s="67"/>
      <c r="BTU1" s="67"/>
      <c r="BTV1" s="67"/>
      <c r="BTW1" s="67"/>
      <c r="BTX1" s="67"/>
      <c r="BTY1" s="67"/>
      <c r="BTZ1" s="67"/>
      <c r="BUA1" s="67"/>
      <c r="BUB1" s="67"/>
      <c r="BUC1" s="66" t="s">
        <v>121</v>
      </c>
      <c r="BUD1" s="66" t="s">
        <v>62</v>
      </c>
      <c r="BUE1" s="66" t="s">
        <v>63</v>
      </c>
      <c r="BUF1" s="67" t="s">
        <v>64</v>
      </c>
      <c r="BUG1" s="66" t="s">
        <v>65</v>
      </c>
      <c r="BUH1" s="67"/>
      <c r="BUI1" s="67"/>
      <c r="BUJ1" s="67"/>
      <c r="BUK1" s="67"/>
      <c r="BUL1" s="67"/>
      <c r="BUM1" s="67"/>
      <c r="BUN1" s="67"/>
      <c r="BUO1" s="67"/>
      <c r="BUP1" s="67"/>
      <c r="BUQ1" s="67"/>
      <c r="BUR1" s="67"/>
      <c r="BUS1" s="67"/>
      <c r="BUT1" s="67"/>
      <c r="BUU1" s="67"/>
      <c r="BUV1" s="67"/>
      <c r="BUW1" s="67"/>
      <c r="BUX1" s="67"/>
      <c r="BUY1" s="67"/>
      <c r="BUZ1" s="67"/>
      <c r="BVA1" s="67"/>
      <c r="BVB1" s="67"/>
      <c r="BVC1" s="67"/>
      <c r="BVD1" s="67"/>
      <c r="BVE1" s="67"/>
      <c r="BVF1" s="67"/>
      <c r="BVG1" s="67"/>
      <c r="BVH1" s="67"/>
      <c r="BVI1" s="67"/>
      <c r="BVJ1" s="67"/>
      <c r="BVK1" s="67"/>
      <c r="BVL1" s="67"/>
      <c r="BVM1" s="67"/>
      <c r="BVN1" s="67"/>
      <c r="BVO1" s="67"/>
      <c r="BVP1" s="67"/>
      <c r="BVQ1" s="67"/>
      <c r="BVR1" s="67"/>
      <c r="BVS1" s="67"/>
      <c r="BVT1" s="67"/>
      <c r="BVU1" s="67"/>
      <c r="BVV1" s="67"/>
      <c r="BVW1" s="67"/>
      <c r="BVX1" s="67"/>
      <c r="BVY1" s="67"/>
      <c r="BVZ1" s="67"/>
      <c r="BWA1" s="67"/>
      <c r="BWB1" s="67"/>
      <c r="BWC1" s="67"/>
      <c r="BWD1" s="67"/>
      <c r="BWE1" s="67"/>
      <c r="BWF1" s="67"/>
      <c r="BWG1" s="67"/>
      <c r="BWH1" s="67"/>
      <c r="BWI1" s="67"/>
      <c r="BWJ1" s="67"/>
      <c r="BWK1" s="67"/>
      <c r="BWL1" s="67"/>
      <c r="BWM1" s="67"/>
      <c r="BWN1" s="67"/>
      <c r="BWO1" s="67"/>
      <c r="BWP1" s="67"/>
      <c r="BWQ1" s="67"/>
      <c r="BWR1" s="67"/>
      <c r="BWS1" s="67"/>
      <c r="BWT1" s="67"/>
      <c r="BWU1" s="67"/>
      <c r="BWV1" s="67"/>
      <c r="BWW1" s="67"/>
      <c r="BWX1" s="67"/>
      <c r="BWY1" s="67"/>
      <c r="BWZ1" s="67"/>
      <c r="BXA1" s="67"/>
      <c r="BXB1" s="67"/>
      <c r="BXC1" s="67"/>
      <c r="BXD1" s="67"/>
      <c r="BXE1" s="67"/>
      <c r="BXF1" s="67"/>
      <c r="BXG1" s="67"/>
      <c r="BXH1" s="67"/>
      <c r="BXI1" s="67"/>
      <c r="BXJ1" s="67"/>
      <c r="BXK1" s="67"/>
      <c r="BXL1" s="67"/>
      <c r="BXM1" s="67"/>
      <c r="BXN1" s="67"/>
      <c r="BXO1" s="67"/>
      <c r="BXP1" s="67"/>
      <c r="BXQ1" s="67"/>
      <c r="BXR1" s="67"/>
      <c r="BXS1" s="67"/>
      <c r="BXT1" s="67"/>
      <c r="BXU1" s="67"/>
      <c r="BXV1" s="67"/>
      <c r="BXW1" s="67"/>
      <c r="BXX1" s="67"/>
      <c r="BXY1" s="66" t="s">
        <v>122</v>
      </c>
      <c r="BXZ1" s="66" t="s">
        <v>62</v>
      </c>
      <c r="BYA1" s="66" t="s">
        <v>63</v>
      </c>
      <c r="BYB1" s="67" t="s">
        <v>64</v>
      </c>
      <c r="BYC1" s="66" t="s">
        <v>65</v>
      </c>
      <c r="BYD1" s="67" t="s">
        <v>123</v>
      </c>
      <c r="BYE1" s="67" t="s">
        <v>124</v>
      </c>
      <c r="BYF1" s="67" t="s">
        <v>125</v>
      </c>
      <c r="BYG1" s="67" t="s">
        <v>126</v>
      </c>
      <c r="BYH1" s="67" t="s">
        <v>127</v>
      </c>
      <c r="BYI1" s="67" t="s">
        <v>128</v>
      </c>
      <c r="BYJ1" s="67" t="s">
        <v>129</v>
      </c>
      <c r="BYK1" s="67"/>
      <c r="BYL1" s="67"/>
      <c r="BYM1" s="67"/>
      <c r="BYN1" s="67"/>
      <c r="BYO1" s="67"/>
      <c r="BYP1" s="67"/>
      <c r="BYQ1" s="67"/>
      <c r="BYR1" s="67"/>
      <c r="BYS1" s="67"/>
      <c r="BYT1" s="67"/>
      <c r="BYU1" s="67"/>
      <c r="BYV1" s="67"/>
      <c r="BYW1" s="67"/>
      <c r="BYX1" s="67"/>
      <c r="BYY1" s="67"/>
      <c r="BYZ1" s="67"/>
      <c r="BZA1" s="67"/>
      <c r="BZB1" s="67"/>
      <c r="BZC1" s="67"/>
      <c r="BZD1" s="67"/>
      <c r="BZE1" s="67"/>
      <c r="BZF1" s="67"/>
      <c r="BZG1" s="67"/>
      <c r="BZH1" s="67"/>
      <c r="BZI1" s="67"/>
      <c r="BZJ1" s="67"/>
      <c r="BZK1" s="67"/>
      <c r="BZL1" s="67"/>
      <c r="BZM1" s="67"/>
      <c r="BZN1" s="67"/>
      <c r="BZO1" s="67"/>
      <c r="BZP1" s="67"/>
      <c r="BZQ1" s="67"/>
      <c r="BZR1" s="67"/>
      <c r="BZS1" s="67"/>
      <c r="BZT1" s="67"/>
      <c r="BZU1" s="67"/>
      <c r="BZV1" s="67"/>
      <c r="BZW1" s="67"/>
      <c r="BZX1" s="67"/>
      <c r="BZY1" s="67"/>
      <c r="BZZ1" s="67"/>
      <c r="CAA1" s="67"/>
      <c r="CAB1" s="67"/>
      <c r="CAC1" s="67"/>
      <c r="CAD1" s="67"/>
      <c r="CAE1" s="67"/>
      <c r="CAF1" s="67"/>
      <c r="CAG1" s="67"/>
      <c r="CAH1" s="67"/>
      <c r="CAI1" s="67"/>
      <c r="CAJ1" s="67"/>
      <c r="CAK1" s="67"/>
      <c r="CAL1" s="67"/>
      <c r="CAM1" s="67"/>
      <c r="CAN1" s="67"/>
      <c r="CAO1" s="67"/>
      <c r="CAP1" s="67"/>
      <c r="CAQ1" s="67"/>
      <c r="CAR1" s="67"/>
      <c r="CAS1" s="67"/>
      <c r="CAT1" s="67"/>
      <c r="CAU1" s="67"/>
      <c r="CAV1" s="67"/>
      <c r="CAW1" s="67"/>
      <c r="CAX1" s="67"/>
      <c r="CAY1" s="67"/>
      <c r="CAZ1" s="67"/>
      <c r="CBA1" s="67"/>
      <c r="CBB1" s="67"/>
      <c r="CBC1" s="67"/>
      <c r="CBD1" s="67"/>
      <c r="CBE1" s="67"/>
      <c r="CBF1" s="67"/>
      <c r="CBG1" s="67"/>
      <c r="CBH1" s="67"/>
      <c r="CBI1" s="67"/>
      <c r="CBJ1" s="67"/>
      <c r="CBK1" s="67"/>
      <c r="CBL1" s="67"/>
      <c r="CBM1" s="67"/>
      <c r="CBN1" s="67"/>
      <c r="CBO1" s="67"/>
      <c r="CBP1" s="67"/>
      <c r="CBQ1" s="67"/>
      <c r="CBR1" s="67"/>
      <c r="CBS1" s="67"/>
      <c r="CBT1" s="67"/>
      <c r="CBU1" s="66" t="s">
        <v>130</v>
      </c>
      <c r="CBV1" s="66" t="s">
        <v>62</v>
      </c>
      <c r="CBW1" s="66" t="s">
        <v>63</v>
      </c>
      <c r="CBX1" s="67" t="s">
        <v>64</v>
      </c>
      <c r="CBY1" s="66" t="s">
        <v>65</v>
      </c>
      <c r="CBZ1" s="67"/>
      <c r="CCA1" s="67"/>
      <c r="CCB1" s="67"/>
      <c r="CCC1" s="67"/>
      <c r="CFQ1" s="66" t="s">
        <v>131</v>
      </c>
      <c r="CFR1" s="66" t="s">
        <v>62</v>
      </c>
      <c r="CFS1" s="66" t="s">
        <v>63</v>
      </c>
      <c r="CFT1" s="67" t="s">
        <v>64</v>
      </c>
      <c r="CFU1" s="66" t="s">
        <v>65</v>
      </c>
      <c r="CJM1" s="66" t="s">
        <v>132</v>
      </c>
      <c r="CJN1" s="66" t="s">
        <v>62</v>
      </c>
      <c r="CJO1" s="66" t="s">
        <v>63</v>
      </c>
      <c r="CJP1" s="67" t="s">
        <v>64</v>
      </c>
      <c r="CJQ1" s="66" t="s">
        <v>65</v>
      </c>
      <c r="CJR1" s="66" t="s">
        <v>133</v>
      </c>
      <c r="CJS1" s="67" t="s">
        <v>134</v>
      </c>
      <c r="CJT1" s="67" t="s">
        <v>135</v>
      </c>
      <c r="CJU1" s="67" t="s">
        <v>136</v>
      </c>
      <c r="CJV1" s="67" t="s">
        <v>137</v>
      </c>
      <c r="CJW1" s="67" t="s">
        <v>138</v>
      </c>
      <c r="CJX1" s="67" t="s">
        <v>139</v>
      </c>
      <c r="CJY1" s="67" t="s">
        <v>140</v>
      </c>
      <c r="CJZ1" s="67" t="s">
        <v>141</v>
      </c>
      <c r="CKA1" s="67" t="s">
        <v>142</v>
      </c>
      <c r="CKB1" s="67" t="s">
        <v>143</v>
      </c>
      <c r="CKC1" s="67" t="s">
        <v>144</v>
      </c>
      <c r="CKD1" s="67" t="s">
        <v>145</v>
      </c>
      <c r="CKE1" s="67" t="s">
        <v>146</v>
      </c>
      <c r="CKF1" s="67" t="s">
        <v>147</v>
      </c>
      <c r="CKG1" s="67" t="s">
        <v>148</v>
      </c>
      <c r="CKH1" s="67" t="s">
        <v>149</v>
      </c>
      <c r="CKI1" s="67" t="s">
        <v>150</v>
      </c>
      <c r="CKJ1" s="67" t="s">
        <v>151</v>
      </c>
      <c r="CKK1" s="67" t="s">
        <v>152</v>
      </c>
      <c r="CKL1" s="67" t="s">
        <v>153</v>
      </c>
      <c r="CKM1" s="67" t="s">
        <v>154</v>
      </c>
      <c r="CKN1" s="67" t="s">
        <v>155</v>
      </c>
      <c r="CKO1" s="67" t="s">
        <v>156</v>
      </c>
      <c r="CKP1" s="67" t="s">
        <v>157</v>
      </c>
      <c r="CKQ1" s="67" t="s">
        <v>158</v>
      </c>
      <c r="CKR1" s="67" t="s">
        <v>159</v>
      </c>
      <c r="CKS1" s="67" t="s">
        <v>160</v>
      </c>
      <c r="CKT1" s="67" t="s">
        <v>161</v>
      </c>
      <c r="CKU1" s="67" t="s">
        <v>162</v>
      </c>
      <c r="CKV1" s="67" t="s">
        <v>163</v>
      </c>
      <c r="CKW1" s="67" t="s">
        <v>164</v>
      </c>
      <c r="CKX1" s="67" t="s">
        <v>165</v>
      </c>
      <c r="CKY1" s="67" t="s">
        <v>166</v>
      </c>
      <c r="CKZ1" s="67" t="s">
        <v>167</v>
      </c>
      <c r="CLA1" s="67" t="s">
        <v>168</v>
      </c>
      <c r="CLB1" s="67" t="s">
        <v>169</v>
      </c>
      <c r="CLC1" s="67" t="s">
        <v>170</v>
      </c>
      <c r="CLD1" s="67" t="s">
        <v>171</v>
      </c>
      <c r="CLE1" s="67" t="s">
        <v>172</v>
      </c>
      <c r="CLF1" s="67" t="s">
        <v>173</v>
      </c>
      <c r="CLG1" s="67"/>
      <c r="CLH1" s="67"/>
      <c r="CLI1" s="67"/>
      <c r="CLJ1" s="67"/>
      <c r="CLK1" s="67"/>
      <c r="CLL1" s="67"/>
      <c r="CLM1" s="67"/>
      <c r="CNI1" s="66" t="s">
        <v>174</v>
      </c>
      <c r="CNJ1" s="66" t="s">
        <v>62</v>
      </c>
      <c r="CNK1" s="66" t="s">
        <v>63</v>
      </c>
      <c r="CNL1" s="67" t="s">
        <v>64</v>
      </c>
      <c r="CNM1" s="66" t="s">
        <v>65</v>
      </c>
      <c r="CNN1" s="68" t="s">
        <v>175</v>
      </c>
      <c r="CNO1" s="68" t="s">
        <v>176</v>
      </c>
      <c r="CNP1" s="68" t="s">
        <v>177</v>
      </c>
      <c r="CNQ1" s="68" t="s">
        <v>178</v>
      </c>
      <c r="CNR1" s="68" t="s">
        <v>179</v>
      </c>
      <c r="CNS1" s="68" t="s">
        <v>180</v>
      </c>
      <c r="CNT1" s="68" t="s">
        <v>181</v>
      </c>
      <c r="CNU1" s="68" t="s">
        <v>182</v>
      </c>
      <c r="CNV1" s="71" t="s">
        <v>183</v>
      </c>
      <c r="CNW1" s="67" t="s">
        <v>184</v>
      </c>
      <c r="CNX1" s="67" t="s">
        <v>185</v>
      </c>
      <c r="CNY1" s="67" t="s">
        <v>186</v>
      </c>
      <c r="CNZ1" s="67" t="s">
        <v>187</v>
      </c>
      <c r="COA1" s="67" t="s">
        <v>187</v>
      </c>
      <c r="COB1" s="67" t="s">
        <v>187</v>
      </c>
      <c r="CRE1" s="66" t="s">
        <v>188</v>
      </c>
      <c r="CRF1" s="66" t="s">
        <v>62</v>
      </c>
      <c r="CRG1" s="66" t="s">
        <v>63</v>
      </c>
      <c r="CRH1" s="67" t="s">
        <v>64</v>
      </c>
      <c r="CRI1" s="66" t="s">
        <v>65</v>
      </c>
      <c r="CRJ1" s="67" t="s">
        <v>134</v>
      </c>
      <c r="CRK1" s="67" t="s">
        <v>138</v>
      </c>
      <c r="CRL1" s="72" t="s">
        <v>115</v>
      </c>
      <c r="CRM1" s="72" t="s">
        <v>116</v>
      </c>
      <c r="CRO1" s="68"/>
      <c r="CRP1" s="68"/>
      <c r="CRQ1" s="68"/>
      <c r="CRR1" s="71"/>
      <c r="CRS1" s="67"/>
      <c r="CRT1" s="67"/>
      <c r="CRU1" s="67"/>
      <c r="CRV1" s="67"/>
      <c r="CRW1" s="67"/>
      <c r="CRX1" s="67"/>
      <c r="CVA1" s="66" t="s">
        <v>189</v>
      </c>
      <c r="CVB1" s="66" t="s">
        <v>62</v>
      </c>
      <c r="CVC1" s="66" t="s">
        <v>63</v>
      </c>
      <c r="CVD1" s="67" t="s">
        <v>64</v>
      </c>
      <c r="CVE1" s="66" t="s">
        <v>65</v>
      </c>
      <c r="CVF1" s="66" t="s">
        <v>190</v>
      </c>
      <c r="CVG1" s="66" t="s">
        <v>191</v>
      </c>
      <c r="CVH1" s="66" t="s">
        <v>192</v>
      </c>
      <c r="CVI1" s="66" t="s">
        <v>193</v>
      </c>
      <c r="CVJ1" s="66" t="s">
        <v>194</v>
      </c>
      <c r="CVK1" s="66" t="s">
        <v>195</v>
      </c>
      <c r="CVL1" s="67"/>
      <c r="CVM1" s="67"/>
      <c r="CVN1" s="67"/>
      <c r="CVO1" s="67"/>
      <c r="CVP1" s="67"/>
      <c r="CVQ1" s="67"/>
      <c r="CVR1" s="67"/>
      <c r="CVS1" s="67"/>
      <c r="CVT1" s="67"/>
      <c r="CVU1" s="67"/>
      <c r="CVV1" s="67"/>
      <c r="CVW1" s="67"/>
      <c r="CVX1" s="67"/>
      <c r="CVY1" s="67"/>
      <c r="CVZ1" s="67"/>
      <c r="CWA1" s="67"/>
      <c r="CWB1" s="67"/>
      <c r="CWC1" s="67"/>
      <c r="CWD1" s="67"/>
      <c r="CWE1" s="67"/>
      <c r="CWF1" s="67"/>
      <c r="CWG1" s="67"/>
      <c r="CWH1" s="67"/>
      <c r="CWI1" s="67"/>
      <c r="CWJ1" s="67"/>
      <c r="CWK1" s="67"/>
      <c r="CWL1" s="67"/>
      <c r="CWM1" s="67"/>
      <c r="CWN1" s="67"/>
      <c r="CWO1" s="67"/>
      <c r="CWP1" s="67"/>
      <c r="CWQ1" s="67"/>
      <c r="CWR1" s="67"/>
      <c r="CWS1" s="67"/>
      <c r="CWT1" s="67"/>
    </row>
    <row r="2" spans="1:2646" x14ac:dyDescent="0.35">
      <c r="CNI2" t="s">
        <v>196</v>
      </c>
      <c r="CNJ2" t="str">
        <f ca="1">SUBSTITUTE(MID(_xlfn.FORMULATEXT(CNM2),2,FIND("!",_xlfn.FORMULATEXT(CNM2),1)-2), "'","")</f>
        <v>Data</v>
      </c>
      <c r="CNK2">
        <f ca="1">_xlfn.SHEET( Data!$NTP$999988)</f>
        <v>2</v>
      </c>
      <c r="CNM2">
        <f>Data!$NTP$999988</f>
        <v>0</v>
      </c>
      <c r="CNN2" s="81"/>
      <c r="CNO2" s="82"/>
      <c r="CNP2" s="82"/>
      <c r="CNQ2" s="82">
        <v>1</v>
      </c>
      <c r="CNR2" s="82"/>
      <c r="CNS2" s="82">
        <f>CNP3</f>
        <v>370</v>
      </c>
      <c r="CNT2" s="82">
        <v>0</v>
      </c>
      <c r="CNU2" s="82">
        <f>CNS2/2+CNS2/2</f>
        <v>370</v>
      </c>
      <c r="CNV2" s="70"/>
      <c r="CNW2" s="82">
        <f>(CNU2/2)-(CNU2/2)*6/100</f>
        <v>173.9</v>
      </c>
      <c r="CNX2" s="83">
        <f>(CNU2/2)+(CNU2/2)*7/100</f>
        <v>197.95</v>
      </c>
      <c r="CNY2" s="84"/>
      <c r="CNZ2" s="70"/>
    </row>
    <row r="3" spans="1:2646" x14ac:dyDescent="0.35">
      <c r="CNI3" t="s">
        <v>196</v>
      </c>
      <c r="CNJ3" t="str">
        <f t="shared" ref="CNJ3:CNJ7" ca="1" si="0">SUBSTITUTE(MID(_xlfn.FORMULATEXT(CNM3),2,FIND("!",_xlfn.FORMULATEXT(CNM3),1)-2), "'","")</f>
        <v>Data</v>
      </c>
      <c r="CNK3">
        <f ca="1">_xlfn.SHEET( Data!$NTP$999988)</f>
        <v>2</v>
      </c>
      <c r="CNM3">
        <f>Data!$NTP$999988</f>
        <v>0</v>
      </c>
      <c r="CNN3" s="85">
        <v>12345678</v>
      </c>
      <c r="CNO3" s="82" t="str">
        <f>Data!$F$27</f>
        <v>Inquiries</v>
      </c>
      <c r="CNP3" s="90">
        <f>Data!$G$27</f>
        <v>370</v>
      </c>
      <c r="CNQ3" s="82">
        <f>CNQ2+1</f>
        <v>2</v>
      </c>
      <c r="CNR3" s="82" t="str">
        <f>CONCATENATE(CNO3," ",CNP3)</f>
        <v>Inquiries 370</v>
      </c>
      <c r="CNS3" s="82">
        <f>CNP3</f>
        <v>370</v>
      </c>
      <c r="CNT3" s="82">
        <f>CNS2/2-CNS3/2</f>
        <v>0</v>
      </c>
      <c r="CNU3" s="82">
        <f>CNS2/2+CNS3/2</f>
        <v>370</v>
      </c>
      <c r="CNV3" s="81">
        <f>CNQ2+1/2</f>
        <v>1.5</v>
      </c>
      <c r="CNW3" s="82">
        <f>CNW2</f>
        <v>173.9</v>
      </c>
      <c r="CNX3" s="82">
        <f>CNX2</f>
        <v>197.95</v>
      </c>
      <c r="CNY3" s="86">
        <f>CNS3/CNS2</f>
        <v>1</v>
      </c>
      <c r="CNZ3" s="70"/>
    </row>
    <row r="4" spans="1:2646" x14ac:dyDescent="0.35">
      <c r="CNI4" t="s">
        <v>196</v>
      </c>
      <c r="CNJ4" t="str">
        <f t="shared" ca="1" si="0"/>
        <v>Data</v>
      </c>
      <c r="CNK4">
        <f ca="1">_xlfn.SHEET( Data!$NTP$999988)</f>
        <v>2</v>
      </c>
      <c r="CNM4">
        <f>Data!$NTP$999988</f>
        <v>0</v>
      </c>
      <c r="CNN4" s="87">
        <v>12345678</v>
      </c>
      <c r="CNO4" s="82" t="str">
        <f>Data!$F$28</f>
        <v>Lead</v>
      </c>
      <c r="CNP4" s="91">
        <f>Data!$G$28</f>
        <v>280</v>
      </c>
      <c r="CNQ4" s="82">
        <f t="shared" ref="CNQ4:CNQ6" si="1">CNQ3+1</f>
        <v>3</v>
      </c>
      <c r="CNR4" s="82" t="str">
        <f>CONCATENATE(CNO4," ",CNP4)</f>
        <v>Lead 280</v>
      </c>
      <c r="CNS4" s="82">
        <f>CNP4</f>
        <v>280</v>
      </c>
      <c r="CNT4" s="82">
        <f>CNS2/2-CNS4/2</f>
        <v>45</v>
      </c>
      <c r="CNU4" s="82">
        <f>CNS2/2+CNS4/2</f>
        <v>325</v>
      </c>
      <c r="CNV4" s="81">
        <f t="shared" ref="CNV4:CNV6" si="2">CNQ3+1/2</f>
        <v>2.5</v>
      </c>
      <c r="CNW4" s="82">
        <f t="shared" ref="CNW4:CNX6" si="3">CNW3</f>
        <v>173.9</v>
      </c>
      <c r="CNX4" s="82">
        <f t="shared" si="3"/>
        <v>197.95</v>
      </c>
      <c r="CNY4" s="86">
        <f>CNS4/CNS2</f>
        <v>0.7567567567567568</v>
      </c>
      <c r="CNZ4" s="70"/>
    </row>
    <row r="5" spans="1:2646" x14ac:dyDescent="0.35">
      <c r="CNI5" t="s">
        <v>196</v>
      </c>
      <c r="CNJ5" t="str">
        <f t="shared" ca="1" si="0"/>
        <v>Data</v>
      </c>
      <c r="CNK5">
        <f ca="1">_xlfn.SHEET( Data!$NTP$999988)</f>
        <v>2</v>
      </c>
      <c r="CNM5">
        <f>Data!$NTP$999988</f>
        <v>0</v>
      </c>
      <c r="CNN5" s="88">
        <v>12345678</v>
      </c>
      <c r="CNO5" s="82" t="str">
        <f>Data!$F$29</f>
        <v>Opportunity</v>
      </c>
      <c r="CNP5" s="92">
        <f>Data!$G$29</f>
        <v>195</v>
      </c>
      <c r="CNQ5" s="82">
        <f t="shared" si="1"/>
        <v>4</v>
      </c>
      <c r="CNR5" s="82" t="str">
        <f>CONCATENATE(CNO5," ",CNP5)</f>
        <v>Opportunity 195</v>
      </c>
      <c r="CNS5" s="82">
        <f>CNP5</f>
        <v>195</v>
      </c>
      <c r="CNT5" s="82">
        <f>CNS2/2-CNS5/2</f>
        <v>87.5</v>
      </c>
      <c r="CNU5" s="82">
        <f>CNS2/2+CNS5/2</f>
        <v>282.5</v>
      </c>
      <c r="CNV5" s="81">
        <f t="shared" si="2"/>
        <v>3.5</v>
      </c>
      <c r="CNW5" s="82">
        <f t="shared" si="3"/>
        <v>173.9</v>
      </c>
      <c r="CNX5" s="82">
        <f t="shared" si="3"/>
        <v>197.95</v>
      </c>
      <c r="CNY5" s="86">
        <f>CNS5/CNS2</f>
        <v>0.52702702702702697</v>
      </c>
      <c r="CNZ5" s="70"/>
    </row>
    <row r="6" spans="1:2646" x14ac:dyDescent="0.35">
      <c r="CNI6" t="s">
        <v>196</v>
      </c>
      <c r="CNJ6" t="str">
        <f t="shared" ca="1" si="0"/>
        <v>Data</v>
      </c>
      <c r="CNK6">
        <f ca="1">_xlfn.SHEET( Data!$NTP$999988)</f>
        <v>2</v>
      </c>
      <c r="CNM6">
        <f>Data!$NTP$999988</f>
        <v>0</v>
      </c>
      <c r="CNN6" s="89">
        <v>12345678</v>
      </c>
      <c r="CNO6" s="82" t="str">
        <f>Data!$F$30</f>
        <v>Sales</v>
      </c>
      <c r="CNP6" s="93">
        <f>Data!$G$30</f>
        <v>43</v>
      </c>
      <c r="CNQ6" s="82">
        <f t="shared" si="1"/>
        <v>5</v>
      </c>
      <c r="CNR6" s="82" t="str">
        <f t="shared" ref="CNR6" si="4">CONCATENATE(CNO6," ",CNP6)</f>
        <v>Sales 43</v>
      </c>
      <c r="CNS6" s="82">
        <f t="shared" ref="CNS6" si="5">CNP6</f>
        <v>43</v>
      </c>
      <c r="CNT6" s="82">
        <f>CNS2/2-CNS6/2</f>
        <v>163.5</v>
      </c>
      <c r="CNU6" s="82">
        <f>CNS2/2+CNS6/2</f>
        <v>206.5</v>
      </c>
      <c r="CNV6" s="81">
        <f t="shared" si="2"/>
        <v>4.5</v>
      </c>
      <c r="CNW6" s="82">
        <f t="shared" si="3"/>
        <v>173.9</v>
      </c>
      <c r="CNX6" s="82">
        <f t="shared" si="3"/>
        <v>197.95</v>
      </c>
      <c r="CNY6" s="86">
        <f>CNS6/CNS2</f>
        <v>0.11621621621621622</v>
      </c>
      <c r="CNZ6" s="70"/>
    </row>
    <row r="7" spans="1:2646" x14ac:dyDescent="0.35">
      <c r="CNI7" t="s">
        <v>196</v>
      </c>
      <c r="CNJ7" t="str">
        <f t="shared" ca="1" si="0"/>
        <v>Data</v>
      </c>
      <c r="CNK7">
        <f ca="1">_xlfn.SHEET( Data!$NTP$999988)</f>
        <v>2</v>
      </c>
      <c r="CNM7">
        <f>Data!$NTP$999988</f>
        <v>0</v>
      </c>
      <c r="CNN7" s="70"/>
      <c r="CNO7" s="82" t="s">
        <v>197</v>
      </c>
      <c r="CNP7" s="70"/>
      <c r="CNQ7" s="82">
        <f>CNQ6+31/100</f>
        <v>5.31</v>
      </c>
      <c r="CNR7" s="82">
        <f>CNS6</f>
        <v>43</v>
      </c>
      <c r="CNS7" s="82">
        <f>CNS2/2</f>
        <v>185</v>
      </c>
      <c r="CNT7" s="70"/>
      <c r="CNU7" s="70"/>
      <c r="CNV7" s="81"/>
      <c r="CNW7" s="70"/>
      <c r="CNX7" s="70"/>
      <c r="CNY7" s="86"/>
      <c r="CNZ7" s="7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7BDBE-7E21-4CA6-8312-075F5D614036}">
  <dimension ref="B1:X33"/>
  <sheetViews>
    <sheetView showGridLines="0" zoomScaleNormal="100" workbookViewId="0">
      <selection activeCell="M22" sqref="M22"/>
    </sheetView>
  </sheetViews>
  <sheetFormatPr defaultRowHeight="14.5" x14ac:dyDescent="0.35"/>
  <cols>
    <col min="1" max="1" width="1.1796875" customWidth="1"/>
    <col min="5" max="5" width="14" customWidth="1"/>
    <col min="6" max="6" width="8.453125" bestFit="1" customWidth="1"/>
    <col min="7" max="7" width="7.453125" customWidth="1"/>
    <col min="8" max="8" width="6.7265625" bestFit="1" customWidth="1"/>
    <col min="9" max="10" width="6" bestFit="1" customWidth="1"/>
    <col min="11" max="11" width="5.26953125" bestFit="1" customWidth="1"/>
    <col min="12" max="13" width="5.81640625" bestFit="1" customWidth="1"/>
    <col min="14" max="15" width="6.7265625" bestFit="1" customWidth="1"/>
    <col min="16" max="16" width="5.7265625" bestFit="1" customWidth="1"/>
    <col min="17" max="17" width="6" bestFit="1" customWidth="1"/>
    <col min="18" max="18" width="3.453125" customWidth="1"/>
    <col min="19" max="19" width="2.26953125" customWidth="1"/>
    <col min="20" max="20" width="14.453125" bestFit="1" customWidth="1"/>
    <col min="21" max="21" width="0.7265625" customWidth="1"/>
    <col min="22" max="22" width="12.81640625" bestFit="1" customWidth="1"/>
    <col min="23" max="23" width="0.7265625" customWidth="1"/>
    <col min="24" max="24" width="10.1796875" customWidth="1"/>
  </cols>
  <sheetData>
    <row r="1" spans="2:24" ht="5.25" customHeight="1" x14ac:dyDescent="0.35"/>
    <row r="2" spans="2:24" ht="5.25" customHeight="1" x14ac:dyDescent="0.35"/>
    <row r="3" spans="2:24" ht="5.25" customHeight="1" x14ac:dyDescent="0.35"/>
    <row r="4" spans="2:24" ht="18" customHeight="1" x14ac:dyDescent="0.35">
      <c r="T4" s="50" t="str">
        <f>Dashboard!C2</f>
        <v>Feb</v>
      </c>
      <c r="U4" s="51"/>
      <c r="W4" s="51"/>
    </row>
    <row r="5" spans="2:24" ht="16" x14ac:dyDescent="0.35">
      <c r="B5" s="108" t="s">
        <v>18</v>
      </c>
      <c r="C5" s="112" t="s">
        <v>46</v>
      </c>
      <c r="D5" s="112"/>
      <c r="E5" s="112"/>
      <c r="F5" s="108" t="s">
        <v>0</v>
      </c>
      <c r="G5" s="108" t="s">
        <v>1</v>
      </c>
      <c r="H5" s="108" t="s">
        <v>2</v>
      </c>
      <c r="I5" s="108" t="s">
        <v>5</v>
      </c>
      <c r="J5" s="108" t="s">
        <v>9</v>
      </c>
      <c r="K5" s="108" t="s">
        <v>6</v>
      </c>
      <c r="L5" s="108" t="s">
        <v>7</v>
      </c>
      <c r="M5" s="108" t="s">
        <v>8</v>
      </c>
      <c r="N5" s="108" t="s">
        <v>10</v>
      </c>
      <c r="O5" s="108" t="s">
        <v>11</v>
      </c>
      <c r="P5" s="108" t="s">
        <v>12</v>
      </c>
      <c r="Q5" s="108" t="s">
        <v>13</v>
      </c>
      <c r="T5" s="55" t="s">
        <v>25</v>
      </c>
      <c r="U5" s="52"/>
      <c r="V5" s="56" t="s">
        <v>26</v>
      </c>
      <c r="W5" s="52"/>
      <c r="X5" s="55" t="s">
        <v>27</v>
      </c>
    </row>
    <row r="6" spans="2:24" x14ac:dyDescent="0.35">
      <c r="B6" s="109">
        <v>1</v>
      </c>
      <c r="C6" s="110" t="s">
        <v>28</v>
      </c>
      <c r="D6" s="111"/>
      <c r="E6" s="111"/>
      <c r="F6" s="61">
        <v>4915</v>
      </c>
      <c r="G6" s="61">
        <v>4740</v>
      </c>
      <c r="H6" s="61">
        <v>4100</v>
      </c>
      <c r="I6" s="61">
        <v>4518</v>
      </c>
      <c r="J6" s="61">
        <v>5200</v>
      </c>
      <c r="K6" s="61">
        <v>5300</v>
      </c>
      <c r="L6" s="61">
        <v>5000</v>
      </c>
      <c r="M6" s="61">
        <v>4926</v>
      </c>
      <c r="N6" s="61">
        <v>3592</v>
      </c>
      <c r="O6" s="61">
        <v>3014</v>
      </c>
      <c r="P6" s="61">
        <v>3280</v>
      </c>
      <c r="Q6" s="61">
        <v>4063</v>
      </c>
      <c r="T6" s="42">
        <f>(V6/X6)-100%</f>
        <v>-3.5605289928789419E-2</v>
      </c>
      <c r="U6" s="45"/>
      <c r="V6" s="60">
        <f>IF($F$5=$T$4,F6,IF($G$5=$T$4,G6,IF($H$5=$T$4,H6,IF($I$5=$T$4,I6,IF($J$5=$T$4,J6,IF($K$5=$T$4,K6,IF($L$5=$T$4,L6,IF($M$5=$T$4,M6,IF($N$5=$T$4,N6,IF($O$5=$T$4,O6,IF($P$5=$T$4,P6,Q6)))))))))))</f>
        <v>4740</v>
      </c>
      <c r="W6" s="53"/>
      <c r="X6" s="60">
        <f>(IF($T$4=$F$5,F6,IF($T$4=$G$5,F6,IF($T$4=$H$5,G6,IF($T$4=$I$5,H6,IF($T$4=$J$5,I6,IF($T$4=$K$5,J6,IF($T$4=$L$5,K6,IF($T$4=$M$5,L6,IF($T$4=$N$5,M6,IF($T$4=$O$5,N6,IF($T$4=$P$5,O6,IF($T$4=$Q$5,P6,"")))))))))))))</f>
        <v>4915</v>
      </c>
    </row>
    <row r="7" spans="2:24" x14ac:dyDescent="0.35">
      <c r="B7" s="109">
        <v>2</v>
      </c>
      <c r="C7" s="110" t="s">
        <v>29</v>
      </c>
      <c r="D7" s="111"/>
      <c r="E7" s="111"/>
      <c r="F7" s="61">
        <v>4179</v>
      </c>
      <c r="G7" s="61">
        <v>5100</v>
      </c>
      <c r="H7" s="61">
        <v>3900</v>
      </c>
      <c r="I7" s="61">
        <v>4800</v>
      </c>
      <c r="J7" s="61">
        <v>4497</v>
      </c>
      <c r="K7" s="61">
        <v>5600</v>
      </c>
      <c r="L7" s="61">
        <v>4800</v>
      </c>
      <c r="M7" s="61">
        <v>3553</v>
      </c>
      <c r="N7" s="61">
        <v>3711</v>
      </c>
      <c r="O7" s="61">
        <v>4466</v>
      </c>
      <c r="P7" s="61">
        <v>3100</v>
      </c>
      <c r="Q7" s="61">
        <v>3800</v>
      </c>
      <c r="T7" s="42">
        <f t="shared" ref="T7:T23" si="0">(V7/X7)-100%</f>
        <v>0.22038765254845649</v>
      </c>
      <c r="U7" s="45"/>
      <c r="V7" s="60">
        <f t="shared" ref="V7:V23" si="1">IF($F$5=$T$4,F7,IF($G$5=$T$4,G7,IF($H$5=$T$4,H7,IF($I$5=$T$4,I7,IF($J$5=$T$4,J7,IF($K$5=$T$4,K7,IF($L$5=$T$4,L7,IF($M$5=$T$4,M7,IF($N$5=$T$4,N7,IF($O$5=$T$4,O7,IF($P$5=$T$4,P7,Q7)))))))))))</f>
        <v>5100</v>
      </c>
      <c r="W7" s="53"/>
      <c r="X7" s="60">
        <f t="shared" ref="X7:X23" si="2">(IF($T$4=$F$5,F7,IF($T$4=$G$5,F7,IF($T$4=$H$5,G7,IF($T$4=$I$5,H7,IF($T$4=$J$5,I7,IF($T$4=$K$5,J7,IF($T$4=$L$5,K7,IF($T$4=$M$5,L7,IF($T$4=$N$5,M7,IF($T$4=$O$5,N7,IF($T$4=$P$5,O7,IF($T$4=$Q$5,P7,"")))))))))))))</f>
        <v>4179</v>
      </c>
    </row>
    <row r="8" spans="2:24" x14ac:dyDescent="0.35">
      <c r="B8" s="109">
        <v>3</v>
      </c>
      <c r="C8" s="110" t="s">
        <v>30</v>
      </c>
      <c r="D8" s="111"/>
      <c r="E8" s="111"/>
      <c r="F8" s="103">
        <f>IFERROR(F6/F7,0)</f>
        <v>1.1761186886815027</v>
      </c>
      <c r="G8" s="103">
        <f t="shared" ref="G8:Q8" si="3">IFERROR(G6/G7,0)</f>
        <v>0.92941176470588238</v>
      </c>
      <c r="H8" s="103">
        <f t="shared" si="3"/>
        <v>1.0512820512820513</v>
      </c>
      <c r="I8" s="103">
        <f t="shared" si="3"/>
        <v>0.94125000000000003</v>
      </c>
      <c r="J8" s="103">
        <f t="shared" si="3"/>
        <v>1.156326439848788</v>
      </c>
      <c r="K8" s="103">
        <f t="shared" si="3"/>
        <v>0.9464285714285714</v>
      </c>
      <c r="L8" s="103">
        <f t="shared" si="3"/>
        <v>1.0416666666666667</v>
      </c>
      <c r="M8" s="103">
        <f t="shared" si="3"/>
        <v>1.3864339994370953</v>
      </c>
      <c r="N8" s="103">
        <f t="shared" si="3"/>
        <v>0.96793317165184589</v>
      </c>
      <c r="O8" s="103">
        <f t="shared" si="3"/>
        <v>0.67487684729064035</v>
      </c>
      <c r="P8" s="103">
        <f t="shared" si="3"/>
        <v>1.0580645161290323</v>
      </c>
      <c r="Q8" s="103">
        <f t="shared" si="3"/>
        <v>1.0692105263157894</v>
      </c>
      <c r="T8" s="42">
        <f t="shared" si="0"/>
        <v>-0.20976362874753152</v>
      </c>
      <c r="U8" s="45"/>
      <c r="V8" s="53">
        <f t="shared" si="1"/>
        <v>0.92941176470588238</v>
      </c>
      <c r="W8" s="53"/>
      <c r="X8" s="53">
        <f t="shared" si="2"/>
        <v>1.1761186886815027</v>
      </c>
    </row>
    <row r="9" spans="2:24" x14ac:dyDescent="0.35">
      <c r="B9" s="109">
        <v>4</v>
      </c>
      <c r="C9" s="110" t="s">
        <v>31</v>
      </c>
      <c r="D9" s="111"/>
      <c r="E9" s="111"/>
      <c r="F9" s="104">
        <v>0.03</v>
      </c>
      <c r="G9" s="105">
        <f>IFERROR(G6/F6-1,0)</f>
        <v>-3.5605289928789419E-2</v>
      </c>
      <c r="H9" s="105">
        <f t="shared" ref="H9:Q9" si="4">IFERROR(H6/G6-1,0)</f>
        <v>-0.13502109704641352</v>
      </c>
      <c r="I9" s="105">
        <f t="shared" si="4"/>
        <v>0.10195121951219521</v>
      </c>
      <c r="J9" s="105">
        <f t="shared" si="4"/>
        <v>0.15095174856131033</v>
      </c>
      <c r="K9" s="105">
        <f t="shared" si="4"/>
        <v>1.9230769230769162E-2</v>
      </c>
      <c r="L9" s="105">
        <f t="shared" si="4"/>
        <v>-5.6603773584905648E-2</v>
      </c>
      <c r="M9" s="105">
        <f t="shared" si="4"/>
        <v>-1.4800000000000035E-2</v>
      </c>
      <c r="N9" s="105">
        <f t="shared" si="4"/>
        <v>-0.27080795777507105</v>
      </c>
      <c r="O9" s="105">
        <f t="shared" si="4"/>
        <v>-0.16091314031180404</v>
      </c>
      <c r="P9" s="105">
        <f t="shared" si="4"/>
        <v>8.8254810882548052E-2</v>
      </c>
      <c r="Q9" s="105">
        <f t="shared" si="4"/>
        <v>0.238719512195122</v>
      </c>
      <c r="T9" s="42">
        <f t="shared" si="0"/>
        <v>-2.186842997626314</v>
      </c>
      <c r="U9" s="45"/>
      <c r="V9" s="53">
        <f t="shared" si="1"/>
        <v>-3.5605289928789419E-2</v>
      </c>
      <c r="W9" s="53"/>
      <c r="X9" s="53">
        <f t="shared" si="2"/>
        <v>0.03</v>
      </c>
    </row>
    <row r="10" spans="2:24" x14ac:dyDescent="0.35">
      <c r="B10" s="109">
        <v>5</v>
      </c>
      <c r="C10" s="110" t="s">
        <v>32</v>
      </c>
      <c r="D10" s="110"/>
      <c r="E10" s="110"/>
      <c r="F10" s="61">
        <v>28</v>
      </c>
      <c r="G10" s="61">
        <v>30</v>
      </c>
      <c r="H10" s="61">
        <v>35</v>
      </c>
      <c r="I10" s="61">
        <v>47</v>
      </c>
      <c r="J10" s="61">
        <v>37</v>
      </c>
      <c r="K10" s="61">
        <v>27</v>
      </c>
      <c r="L10" s="61">
        <v>44</v>
      </c>
      <c r="M10" s="61">
        <v>24</v>
      </c>
      <c r="N10" s="61">
        <v>37</v>
      </c>
      <c r="O10" s="61">
        <v>39</v>
      </c>
      <c r="P10" s="61">
        <v>22</v>
      </c>
      <c r="Q10" s="61">
        <v>22</v>
      </c>
      <c r="T10" s="42">
        <f t="shared" si="0"/>
        <v>7.1428571428571397E-2</v>
      </c>
      <c r="U10" s="45"/>
      <c r="V10" s="60">
        <f t="shared" si="1"/>
        <v>30</v>
      </c>
      <c r="W10" s="60"/>
      <c r="X10" s="60">
        <f t="shared" si="2"/>
        <v>28</v>
      </c>
    </row>
    <row r="11" spans="2:24" x14ac:dyDescent="0.35">
      <c r="B11" s="109">
        <v>6</v>
      </c>
      <c r="C11" s="110" t="s">
        <v>33</v>
      </c>
      <c r="D11" s="110"/>
      <c r="E11" s="110"/>
      <c r="F11" s="61">
        <v>43</v>
      </c>
      <c r="G11" s="61">
        <v>56</v>
      </c>
      <c r="H11" s="61">
        <v>41</v>
      </c>
      <c r="I11" s="61">
        <v>45</v>
      </c>
      <c r="J11" s="61">
        <v>62</v>
      </c>
      <c r="K11" s="61">
        <v>74</v>
      </c>
      <c r="L11" s="61">
        <v>56</v>
      </c>
      <c r="M11" s="61">
        <v>62</v>
      </c>
      <c r="N11" s="61">
        <v>63</v>
      </c>
      <c r="O11" s="61">
        <v>62</v>
      </c>
      <c r="P11" s="61">
        <v>65</v>
      </c>
      <c r="Q11" s="61">
        <v>40</v>
      </c>
      <c r="T11" s="42">
        <f t="shared" si="0"/>
        <v>0.30232558139534893</v>
      </c>
      <c r="U11" s="45"/>
      <c r="V11" s="60">
        <f t="shared" si="1"/>
        <v>56</v>
      </c>
      <c r="W11" s="60"/>
      <c r="X11" s="60">
        <f t="shared" si="2"/>
        <v>43</v>
      </c>
    </row>
    <row r="12" spans="2:24" x14ac:dyDescent="0.35">
      <c r="B12" s="109">
        <v>7</v>
      </c>
      <c r="C12" s="110" t="s">
        <v>34</v>
      </c>
      <c r="D12" s="110"/>
      <c r="E12" s="110"/>
      <c r="F12" s="61">
        <v>40</v>
      </c>
      <c r="G12" s="61">
        <v>49</v>
      </c>
      <c r="H12" s="61">
        <v>44</v>
      </c>
      <c r="I12" s="61">
        <v>44</v>
      </c>
      <c r="J12" s="61">
        <v>70</v>
      </c>
      <c r="K12" s="61">
        <v>76</v>
      </c>
      <c r="L12" s="61">
        <v>72</v>
      </c>
      <c r="M12" s="61">
        <v>65</v>
      </c>
      <c r="N12" s="61">
        <v>75</v>
      </c>
      <c r="O12" s="61">
        <v>41</v>
      </c>
      <c r="P12" s="61">
        <v>75</v>
      </c>
      <c r="Q12" s="61">
        <v>42</v>
      </c>
      <c r="T12" s="42">
        <f t="shared" si="0"/>
        <v>0.22500000000000009</v>
      </c>
      <c r="U12" s="45"/>
      <c r="V12" s="60">
        <f t="shared" si="1"/>
        <v>49</v>
      </c>
      <c r="W12" s="60"/>
      <c r="X12" s="60">
        <f t="shared" si="2"/>
        <v>40</v>
      </c>
    </row>
    <row r="13" spans="2:24" x14ac:dyDescent="0.35">
      <c r="B13" s="109">
        <v>8</v>
      </c>
      <c r="C13" s="110" t="s">
        <v>35</v>
      </c>
      <c r="D13" s="111"/>
      <c r="E13" s="111"/>
      <c r="F13" s="106">
        <f>IFERROR(F6/F10,0)</f>
        <v>175.53571428571428</v>
      </c>
      <c r="G13" s="106">
        <f t="shared" ref="G13:Q13" si="5">IFERROR(G6/G10,0)</f>
        <v>158</v>
      </c>
      <c r="H13" s="106">
        <f t="shared" si="5"/>
        <v>117.14285714285714</v>
      </c>
      <c r="I13" s="106">
        <f t="shared" si="5"/>
        <v>96.127659574468083</v>
      </c>
      <c r="J13" s="106">
        <f t="shared" si="5"/>
        <v>140.54054054054055</v>
      </c>
      <c r="K13" s="106">
        <f t="shared" si="5"/>
        <v>196.2962962962963</v>
      </c>
      <c r="L13" s="106">
        <f t="shared" si="5"/>
        <v>113.63636363636364</v>
      </c>
      <c r="M13" s="106">
        <f t="shared" si="5"/>
        <v>205.25</v>
      </c>
      <c r="N13" s="106">
        <f t="shared" si="5"/>
        <v>97.081081081081081</v>
      </c>
      <c r="O13" s="106">
        <f t="shared" si="5"/>
        <v>77.282051282051285</v>
      </c>
      <c r="P13" s="106">
        <f t="shared" si="5"/>
        <v>149.09090909090909</v>
      </c>
      <c r="Q13" s="106">
        <f t="shared" si="5"/>
        <v>184.68181818181819</v>
      </c>
      <c r="T13" s="42">
        <f t="shared" si="0"/>
        <v>-9.9898270600203398E-2</v>
      </c>
      <c r="U13" s="45"/>
      <c r="V13" s="60">
        <f t="shared" si="1"/>
        <v>158</v>
      </c>
      <c r="W13" s="53"/>
      <c r="X13" s="60">
        <f t="shared" si="2"/>
        <v>175.53571428571428</v>
      </c>
    </row>
    <row r="14" spans="2:24" x14ac:dyDescent="0.35">
      <c r="B14" s="109">
        <v>9</v>
      </c>
      <c r="C14" s="110" t="s">
        <v>36</v>
      </c>
      <c r="D14" s="111"/>
      <c r="E14" s="111"/>
      <c r="F14" s="106">
        <f>IFERROR(F6/F11,0)</f>
        <v>114.30232558139535</v>
      </c>
      <c r="G14" s="106">
        <f t="shared" ref="G14:Q14" si="6">IFERROR(G6/G11,0)</f>
        <v>84.642857142857139</v>
      </c>
      <c r="H14" s="106">
        <f t="shared" si="6"/>
        <v>100</v>
      </c>
      <c r="I14" s="106">
        <f t="shared" si="6"/>
        <v>100.4</v>
      </c>
      <c r="J14" s="106">
        <f t="shared" si="6"/>
        <v>83.870967741935488</v>
      </c>
      <c r="K14" s="106">
        <f t="shared" si="6"/>
        <v>71.621621621621628</v>
      </c>
      <c r="L14" s="106">
        <f t="shared" si="6"/>
        <v>89.285714285714292</v>
      </c>
      <c r="M14" s="106">
        <f t="shared" si="6"/>
        <v>79.451612903225808</v>
      </c>
      <c r="N14" s="106">
        <f t="shared" si="6"/>
        <v>57.015873015873019</v>
      </c>
      <c r="O14" s="106">
        <f t="shared" si="6"/>
        <v>48.612903225806448</v>
      </c>
      <c r="P14" s="106">
        <f t="shared" si="6"/>
        <v>50.46153846153846</v>
      </c>
      <c r="Q14" s="106">
        <f t="shared" si="6"/>
        <v>101.575</v>
      </c>
      <c r="T14" s="42">
        <f t="shared" si="0"/>
        <v>-0.25948263333817767</v>
      </c>
      <c r="U14" s="45"/>
      <c r="V14" s="60">
        <f t="shared" si="1"/>
        <v>84.642857142857139</v>
      </c>
      <c r="W14" s="60"/>
      <c r="X14" s="60">
        <f t="shared" si="2"/>
        <v>114.30232558139535</v>
      </c>
    </row>
    <row r="15" spans="2:24" x14ac:dyDescent="0.35">
      <c r="B15" s="109">
        <v>10</v>
      </c>
      <c r="C15" s="110" t="s">
        <v>37</v>
      </c>
      <c r="D15" s="111"/>
      <c r="E15" s="111"/>
      <c r="F15" s="61">
        <v>2719</v>
      </c>
      <c r="G15" s="61">
        <v>2873</v>
      </c>
      <c r="H15" s="61">
        <v>2485</v>
      </c>
      <c r="I15" s="61">
        <v>2425</v>
      </c>
      <c r="J15" s="61">
        <v>2271</v>
      </c>
      <c r="K15" s="61">
        <v>2316</v>
      </c>
      <c r="L15" s="61">
        <v>2432</v>
      </c>
      <c r="M15" s="61">
        <v>2757</v>
      </c>
      <c r="N15" s="61">
        <v>2440</v>
      </c>
      <c r="O15" s="61">
        <v>2877</v>
      </c>
      <c r="P15" s="61">
        <v>2525</v>
      </c>
      <c r="Q15" s="61">
        <v>2745</v>
      </c>
      <c r="T15" s="42">
        <f t="shared" si="0"/>
        <v>5.6638470025744736E-2</v>
      </c>
      <c r="U15" s="45"/>
      <c r="V15" s="60">
        <f t="shared" si="1"/>
        <v>2873</v>
      </c>
      <c r="W15" s="61"/>
      <c r="X15" s="60">
        <f t="shared" si="2"/>
        <v>2719</v>
      </c>
    </row>
    <row r="16" spans="2:24" x14ac:dyDescent="0.35">
      <c r="B16" s="109">
        <v>11</v>
      </c>
      <c r="C16" s="110" t="s">
        <v>38</v>
      </c>
      <c r="D16" s="111"/>
      <c r="E16" s="111"/>
      <c r="F16" s="106">
        <f>IFERROR(F15/F10,0)</f>
        <v>97.107142857142861</v>
      </c>
      <c r="G16" s="106">
        <f t="shared" ref="G16:Q16" si="7">IFERROR(G15/G10,0)</f>
        <v>95.766666666666666</v>
      </c>
      <c r="H16" s="106">
        <f t="shared" si="7"/>
        <v>71</v>
      </c>
      <c r="I16" s="106">
        <f t="shared" si="7"/>
        <v>51.595744680851062</v>
      </c>
      <c r="J16" s="106">
        <f t="shared" si="7"/>
        <v>61.378378378378379</v>
      </c>
      <c r="K16" s="106">
        <f t="shared" si="7"/>
        <v>85.777777777777771</v>
      </c>
      <c r="L16" s="106">
        <f t="shared" si="7"/>
        <v>55.272727272727273</v>
      </c>
      <c r="M16" s="106">
        <f t="shared" si="7"/>
        <v>114.875</v>
      </c>
      <c r="N16" s="106">
        <f t="shared" si="7"/>
        <v>65.945945945945951</v>
      </c>
      <c r="O16" s="106">
        <f t="shared" si="7"/>
        <v>73.769230769230774</v>
      </c>
      <c r="P16" s="106">
        <f t="shared" si="7"/>
        <v>114.77272727272727</v>
      </c>
      <c r="Q16" s="106">
        <f t="shared" si="7"/>
        <v>124.77272727272727</v>
      </c>
      <c r="T16" s="54">
        <f t="shared" si="0"/>
        <v>-1.380409464263832E-2</v>
      </c>
      <c r="U16" s="45"/>
      <c r="V16" s="60">
        <f t="shared" si="1"/>
        <v>95.766666666666666</v>
      </c>
      <c r="W16" s="61"/>
      <c r="X16" s="60">
        <f t="shared" si="2"/>
        <v>97.107142857142861</v>
      </c>
    </row>
    <row r="17" spans="2:24" x14ac:dyDescent="0.35">
      <c r="B17" s="109">
        <v>12</v>
      </c>
      <c r="C17" s="110" t="s">
        <v>39</v>
      </c>
      <c r="D17" s="111"/>
      <c r="E17" s="111"/>
      <c r="F17" s="106">
        <f>+F6-F15</f>
        <v>2196</v>
      </c>
      <c r="G17" s="106">
        <f t="shared" ref="G17:Q17" si="8">+G6-G15</f>
        <v>1867</v>
      </c>
      <c r="H17" s="106">
        <f t="shared" si="8"/>
        <v>1615</v>
      </c>
      <c r="I17" s="106">
        <f t="shared" si="8"/>
        <v>2093</v>
      </c>
      <c r="J17" s="106">
        <f t="shared" si="8"/>
        <v>2929</v>
      </c>
      <c r="K17" s="106">
        <f t="shared" si="8"/>
        <v>2984</v>
      </c>
      <c r="L17" s="106">
        <f t="shared" si="8"/>
        <v>2568</v>
      </c>
      <c r="M17" s="106">
        <f t="shared" si="8"/>
        <v>2169</v>
      </c>
      <c r="N17" s="106">
        <f t="shared" si="8"/>
        <v>1152</v>
      </c>
      <c r="O17" s="106">
        <f t="shared" si="8"/>
        <v>137</v>
      </c>
      <c r="P17" s="106">
        <f t="shared" si="8"/>
        <v>755</v>
      </c>
      <c r="Q17" s="106">
        <f t="shared" si="8"/>
        <v>1318</v>
      </c>
      <c r="T17" s="54">
        <f t="shared" si="0"/>
        <v>-0.14981785063752273</v>
      </c>
      <c r="U17" s="45"/>
      <c r="V17" s="60">
        <f t="shared" si="1"/>
        <v>1867</v>
      </c>
      <c r="W17" s="60"/>
      <c r="X17" s="60">
        <f t="shared" si="2"/>
        <v>2196</v>
      </c>
    </row>
    <row r="18" spans="2:24" x14ac:dyDescent="0.35">
      <c r="B18" s="109">
        <v>13</v>
      </c>
      <c r="C18" s="110" t="s">
        <v>40</v>
      </c>
      <c r="D18" s="111"/>
      <c r="E18" s="111"/>
      <c r="F18" s="107">
        <f>IFERROR(F17/F6,0)</f>
        <v>0.44679552390640898</v>
      </c>
      <c r="G18" s="107">
        <f t="shared" ref="G18:Q18" si="9">IFERROR(G17/G6,0)</f>
        <v>0.3938818565400844</v>
      </c>
      <c r="H18" s="107">
        <f t="shared" si="9"/>
        <v>0.39390243902439026</v>
      </c>
      <c r="I18" s="107">
        <f t="shared" si="9"/>
        <v>0.4632580787959274</v>
      </c>
      <c r="J18" s="107">
        <f t="shared" si="9"/>
        <v>0.56326923076923074</v>
      </c>
      <c r="K18" s="107">
        <f t="shared" si="9"/>
        <v>0.56301886792452827</v>
      </c>
      <c r="L18" s="107">
        <f t="shared" si="9"/>
        <v>0.51359999999999995</v>
      </c>
      <c r="M18" s="107">
        <f t="shared" si="9"/>
        <v>0.44031668696711329</v>
      </c>
      <c r="N18" s="107">
        <f t="shared" si="9"/>
        <v>0.32071269487750559</v>
      </c>
      <c r="O18" s="107">
        <f t="shared" si="9"/>
        <v>4.5454545454545456E-2</v>
      </c>
      <c r="P18" s="107">
        <f t="shared" si="9"/>
        <v>0.2301829268292683</v>
      </c>
      <c r="Q18" s="107">
        <f t="shared" si="9"/>
        <v>0.32439084420379033</v>
      </c>
      <c r="T18" s="54">
        <f t="shared" si="0"/>
        <v>-0.11842926917371821</v>
      </c>
      <c r="U18" s="45"/>
      <c r="V18" s="53">
        <f t="shared" si="1"/>
        <v>0.3938818565400844</v>
      </c>
      <c r="W18" s="53"/>
      <c r="X18" s="53">
        <f t="shared" si="2"/>
        <v>0.44679552390640898</v>
      </c>
    </row>
    <row r="19" spans="2:24" x14ac:dyDescent="0.35">
      <c r="B19" s="109">
        <v>14</v>
      </c>
      <c r="C19" s="110" t="s">
        <v>41</v>
      </c>
      <c r="D19" s="111"/>
      <c r="E19" s="111"/>
      <c r="F19" s="61">
        <v>370</v>
      </c>
      <c r="G19" s="61">
        <v>353</v>
      </c>
      <c r="H19" s="61">
        <v>376</v>
      </c>
      <c r="I19" s="61">
        <v>395</v>
      </c>
      <c r="J19" s="61">
        <v>343</v>
      </c>
      <c r="K19" s="61">
        <v>344</v>
      </c>
      <c r="L19" s="61">
        <v>395</v>
      </c>
      <c r="M19" s="61">
        <v>394</v>
      </c>
      <c r="N19" s="61">
        <v>347</v>
      </c>
      <c r="O19" s="61">
        <v>397</v>
      </c>
      <c r="P19" s="61">
        <v>387</v>
      </c>
      <c r="Q19" s="61">
        <v>389</v>
      </c>
      <c r="T19" s="54">
        <f t="shared" si="0"/>
        <v>-4.5945945945945921E-2</v>
      </c>
      <c r="U19" s="45"/>
      <c r="V19" s="60">
        <f t="shared" si="1"/>
        <v>353</v>
      </c>
      <c r="W19" s="60"/>
      <c r="X19" s="60">
        <f t="shared" si="2"/>
        <v>370</v>
      </c>
    </row>
    <row r="20" spans="2:24" x14ac:dyDescent="0.35">
      <c r="B20" s="109">
        <v>15</v>
      </c>
      <c r="C20" s="110" t="s">
        <v>42</v>
      </c>
      <c r="D20" s="111"/>
      <c r="E20" s="111"/>
      <c r="F20" s="61">
        <v>280</v>
      </c>
      <c r="G20" s="61">
        <v>280</v>
      </c>
      <c r="H20" s="61">
        <v>280</v>
      </c>
      <c r="I20" s="61">
        <v>280</v>
      </c>
      <c r="J20" s="61">
        <v>280</v>
      </c>
      <c r="K20" s="61">
        <v>280</v>
      </c>
      <c r="L20" s="61">
        <v>280</v>
      </c>
      <c r="M20" s="61">
        <v>280</v>
      </c>
      <c r="N20" s="61">
        <v>280</v>
      </c>
      <c r="O20" s="61">
        <v>280</v>
      </c>
      <c r="P20" s="61">
        <v>280</v>
      </c>
      <c r="Q20" s="61">
        <v>280</v>
      </c>
      <c r="T20" s="54">
        <f t="shared" si="0"/>
        <v>0</v>
      </c>
      <c r="U20" s="45"/>
      <c r="V20" s="60">
        <f t="shared" si="1"/>
        <v>280</v>
      </c>
      <c r="W20" s="60"/>
      <c r="X20" s="60">
        <f t="shared" si="2"/>
        <v>280</v>
      </c>
    </row>
    <row r="21" spans="2:24" x14ac:dyDescent="0.35">
      <c r="B21" s="109">
        <v>16</v>
      </c>
      <c r="C21" s="110" t="s">
        <v>43</v>
      </c>
      <c r="D21" s="111"/>
      <c r="E21" s="111"/>
      <c r="F21" s="61">
        <v>195</v>
      </c>
      <c r="G21" s="61">
        <v>195</v>
      </c>
      <c r="H21" s="61">
        <v>195</v>
      </c>
      <c r="I21" s="61">
        <v>195</v>
      </c>
      <c r="J21" s="61">
        <v>195</v>
      </c>
      <c r="K21" s="61">
        <v>195</v>
      </c>
      <c r="L21" s="61">
        <v>195</v>
      </c>
      <c r="M21" s="61">
        <v>195</v>
      </c>
      <c r="N21" s="61">
        <v>195</v>
      </c>
      <c r="O21" s="61">
        <v>195</v>
      </c>
      <c r="P21" s="61">
        <v>195</v>
      </c>
      <c r="Q21" s="61">
        <v>195</v>
      </c>
      <c r="T21" s="54">
        <f t="shared" si="0"/>
        <v>0</v>
      </c>
      <c r="U21" s="45"/>
      <c r="V21" s="60">
        <f t="shared" si="1"/>
        <v>195</v>
      </c>
      <c r="W21" s="60"/>
      <c r="X21" s="60">
        <f t="shared" si="2"/>
        <v>195</v>
      </c>
    </row>
    <row r="22" spans="2:24" x14ac:dyDescent="0.35">
      <c r="B22" s="109">
        <v>17</v>
      </c>
      <c r="C22" s="110" t="s">
        <v>44</v>
      </c>
      <c r="D22" s="110"/>
      <c r="E22" s="110"/>
      <c r="F22" s="61">
        <f>+F11</f>
        <v>43</v>
      </c>
      <c r="G22" s="61">
        <f t="shared" ref="G22:Q22" si="10">+G11</f>
        <v>56</v>
      </c>
      <c r="H22" s="61">
        <f t="shared" si="10"/>
        <v>41</v>
      </c>
      <c r="I22" s="61">
        <f t="shared" si="10"/>
        <v>45</v>
      </c>
      <c r="J22" s="61">
        <f t="shared" si="10"/>
        <v>62</v>
      </c>
      <c r="K22" s="61">
        <f t="shared" si="10"/>
        <v>74</v>
      </c>
      <c r="L22" s="61">
        <f t="shared" si="10"/>
        <v>56</v>
      </c>
      <c r="M22" s="61">
        <f t="shared" si="10"/>
        <v>62</v>
      </c>
      <c r="N22" s="61">
        <f t="shared" si="10"/>
        <v>63</v>
      </c>
      <c r="O22" s="61">
        <f t="shared" si="10"/>
        <v>62</v>
      </c>
      <c r="P22" s="61">
        <f t="shared" si="10"/>
        <v>65</v>
      </c>
      <c r="Q22" s="61">
        <f t="shared" si="10"/>
        <v>40</v>
      </c>
      <c r="T22" s="54">
        <f t="shared" si="0"/>
        <v>0.30232558139534893</v>
      </c>
      <c r="U22" s="45"/>
      <c r="V22" s="60">
        <f t="shared" si="1"/>
        <v>56</v>
      </c>
      <c r="W22" s="53"/>
      <c r="X22" s="60">
        <f t="shared" si="2"/>
        <v>43</v>
      </c>
    </row>
    <row r="23" spans="2:24" x14ac:dyDescent="0.35">
      <c r="B23" s="109">
        <v>18</v>
      </c>
      <c r="C23" s="110" t="s">
        <v>45</v>
      </c>
      <c r="D23" s="110"/>
      <c r="E23" s="110"/>
      <c r="F23" s="62">
        <f>IFERROR(F22/F19,"0")</f>
        <v>0.11621621621621622</v>
      </c>
      <c r="G23" s="62">
        <f t="shared" ref="G23:Q23" si="11">IFERROR(G22/G19,"0")</f>
        <v>0.15864022662889518</v>
      </c>
      <c r="H23" s="62">
        <f t="shared" si="11"/>
        <v>0.10904255319148937</v>
      </c>
      <c r="I23" s="62">
        <f t="shared" si="11"/>
        <v>0.11392405063291139</v>
      </c>
      <c r="J23" s="62">
        <f t="shared" si="11"/>
        <v>0.18075801749271136</v>
      </c>
      <c r="K23" s="62">
        <f t="shared" si="11"/>
        <v>0.21511627906976744</v>
      </c>
      <c r="L23" s="62">
        <f t="shared" si="11"/>
        <v>0.14177215189873418</v>
      </c>
      <c r="M23" s="62">
        <f t="shared" si="11"/>
        <v>0.15736040609137056</v>
      </c>
      <c r="N23" s="62">
        <f t="shared" si="11"/>
        <v>0.18155619596541786</v>
      </c>
      <c r="O23" s="62">
        <f t="shared" si="11"/>
        <v>0.15617128463476071</v>
      </c>
      <c r="P23" s="62">
        <f t="shared" si="11"/>
        <v>0.16795865633074936</v>
      </c>
      <c r="Q23" s="62">
        <f t="shared" si="11"/>
        <v>0.10282776349614396</v>
      </c>
      <c r="T23" s="54">
        <f t="shared" si="0"/>
        <v>0.36504381052770274</v>
      </c>
      <c r="U23" s="45"/>
      <c r="V23" s="53">
        <f t="shared" si="1"/>
        <v>0.15864022662889518</v>
      </c>
      <c r="W23" s="53"/>
      <c r="X23" s="53">
        <f t="shared" si="2"/>
        <v>0.11621621621621622</v>
      </c>
    </row>
    <row r="24" spans="2:24" ht="8.25" customHeight="1" x14ac:dyDescent="0.35"/>
    <row r="25" spans="2:24" ht="8.25" customHeight="1" x14ac:dyDescent="0.35"/>
    <row r="26" spans="2:24" x14ac:dyDescent="0.35">
      <c r="B26" s="113"/>
      <c r="C26" s="113"/>
      <c r="D26" s="113"/>
      <c r="E26" s="29"/>
      <c r="F26" s="29"/>
      <c r="G26" s="113"/>
      <c r="H26" s="113"/>
      <c r="I26" s="113"/>
      <c r="J26" s="113"/>
      <c r="K26" s="29"/>
      <c r="L26" s="29"/>
      <c r="M26" s="113"/>
      <c r="N26" s="113"/>
      <c r="O26" s="113"/>
      <c r="P26" s="113"/>
      <c r="Q26" s="29"/>
      <c r="T26" s="57"/>
      <c r="U26" s="57"/>
      <c r="W26" s="57"/>
    </row>
    <row r="27" spans="2:24" ht="16" x14ac:dyDescent="0.35">
      <c r="B27" s="113"/>
      <c r="C27" s="113"/>
      <c r="D27" s="113"/>
      <c r="E27" s="29"/>
      <c r="F27" s="59" t="s">
        <v>41</v>
      </c>
      <c r="G27" s="77">
        <f>X19</f>
        <v>370</v>
      </c>
      <c r="H27" s="57"/>
      <c r="I27" s="57"/>
      <c r="J27" s="57"/>
      <c r="K27" s="29"/>
      <c r="L27" s="29"/>
      <c r="M27" s="113"/>
      <c r="N27" s="113"/>
      <c r="O27" s="113"/>
      <c r="P27" s="113"/>
      <c r="Q27" s="29"/>
      <c r="T27" s="57"/>
      <c r="U27" s="57"/>
      <c r="W27" s="57"/>
    </row>
    <row r="28" spans="2:24" ht="16" x14ac:dyDescent="0.35">
      <c r="B28" s="113"/>
      <c r="C28" s="113"/>
      <c r="D28" s="113"/>
      <c r="E28" s="29"/>
      <c r="F28" s="59" t="s">
        <v>42</v>
      </c>
      <c r="G28" s="78">
        <f t="shared" ref="G28:G30" si="12">X20</f>
        <v>280</v>
      </c>
      <c r="H28" s="57"/>
      <c r="I28" s="57"/>
      <c r="J28" s="57"/>
      <c r="K28" s="29"/>
      <c r="L28" s="29"/>
      <c r="M28" s="113"/>
      <c r="N28" s="113"/>
      <c r="O28" s="113"/>
      <c r="P28" s="113"/>
      <c r="Q28" s="29"/>
      <c r="T28" s="57"/>
      <c r="U28" s="57"/>
      <c r="W28" s="57"/>
    </row>
    <row r="29" spans="2:24" ht="16" x14ac:dyDescent="0.35">
      <c r="B29" s="113"/>
      <c r="C29" s="113"/>
      <c r="D29" s="113"/>
      <c r="E29" s="29"/>
      <c r="F29" s="59" t="s">
        <v>43</v>
      </c>
      <c r="G29" s="79">
        <f t="shared" si="12"/>
        <v>195</v>
      </c>
      <c r="H29" s="57"/>
      <c r="I29" s="57"/>
      <c r="J29" s="57"/>
      <c r="K29" s="29"/>
      <c r="L29" s="29"/>
      <c r="M29" s="113"/>
      <c r="N29" s="113"/>
      <c r="O29" s="113"/>
      <c r="P29" s="113"/>
      <c r="Q29" s="29"/>
      <c r="T29" s="57"/>
      <c r="U29" s="57"/>
      <c r="W29" s="57"/>
    </row>
    <row r="30" spans="2:24" ht="16" x14ac:dyDescent="0.35">
      <c r="B30" s="113"/>
      <c r="C30" s="113"/>
      <c r="D30" s="113"/>
      <c r="E30" s="29"/>
      <c r="F30" s="59" t="s">
        <v>44</v>
      </c>
      <c r="G30" s="80">
        <f t="shared" si="12"/>
        <v>43</v>
      </c>
      <c r="H30" s="57"/>
      <c r="I30" s="57"/>
      <c r="J30" s="57"/>
      <c r="K30" s="29"/>
      <c r="L30" s="29"/>
      <c r="M30" s="113"/>
      <c r="N30" s="113"/>
      <c r="O30" s="113"/>
      <c r="P30" s="113"/>
      <c r="Q30" s="29"/>
      <c r="T30" s="57"/>
      <c r="U30" s="57"/>
      <c r="W30" s="57"/>
    </row>
    <row r="31" spans="2:24" x14ac:dyDescent="0.35">
      <c r="B31" s="113"/>
      <c r="C31" s="113"/>
      <c r="D31" s="113"/>
      <c r="E31" s="29"/>
      <c r="F31" s="29"/>
      <c r="G31" s="113"/>
      <c r="H31" s="113"/>
      <c r="I31" s="113"/>
      <c r="J31" s="113"/>
      <c r="K31" s="29"/>
      <c r="L31" s="29"/>
      <c r="M31" s="113"/>
      <c r="N31" s="113"/>
      <c r="O31" s="113"/>
      <c r="P31" s="113"/>
      <c r="Q31" s="29"/>
      <c r="T31" s="57"/>
      <c r="U31" s="57"/>
      <c r="W31" s="57"/>
    </row>
    <row r="32" spans="2:24" x14ac:dyDescent="0.35">
      <c r="B32" s="113"/>
      <c r="C32" s="113"/>
      <c r="D32" s="113"/>
      <c r="E32" s="29"/>
      <c r="F32" s="29"/>
      <c r="G32" s="113"/>
      <c r="H32" s="113"/>
      <c r="I32" s="113"/>
      <c r="J32" s="113"/>
      <c r="K32" s="29"/>
      <c r="L32" s="29"/>
      <c r="M32" s="113"/>
      <c r="N32" s="113"/>
      <c r="O32" s="113"/>
      <c r="P32" s="113"/>
      <c r="Q32" s="29"/>
      <c r="T32" s="57"/>
      <c r="U32" s="57"/>
      <c r="W32" s="57"/>
    </row>
    <row r="33" spans="2:23" x14ac:dyDescent="0.35">
      <c r="B33" s="113"/>
      <c r="C33" s="113"/>
      <c r="D33" s="113"/>
      <c r="E33" s="29"/>
      <c r="F33" s="29"/>
      <c r="G33" s="113"/>
      <c r="H33" s="113"/>
      <c r="I33" s="113"/>
      <c r="J33" s="113"/>
      <c r="K33" s="29"/>
      <c r="L33" s="29"/>
      <c r="M33" s="113"/>
      <c r="N33" s="113"/>
      <c r="O33" s="113"/>
      <c r="P33" s="113"/>
      <c r="Q33" s="29"/>
      <c r="T33" s="57"/>
      <c r="U33" s="57"/>
      <c r="W33" s="57"/>
    </row>
  </sheetData>
  <mergeCells count="21">
    <mergeCell ref="M31:P31"/>
    <mergeCell ref="B32:D32"/>
    <mergeCell ref="G32:J32"/>
    <mergeCell ref="M32:P32"/>
    <mergeCell ref="B33:D33"/>
    <mergeCell ref="G33:J33"/>
    <mergeCell ref="M33:P33"/>
    <mergeCell ref="M29:P29"/>
    <mergeCell ref="B30:D30"/>
    <mergeCell ref="M30:P30"/>
    <mergeCell ref="M26:P26"/>
    <mergeCell ref="B27:D27"/>
    <mergeCell ref="M27:P27"/>
    <mergeCell ref="B28:D28"/>
    <mergeCell ref="M28:P28"/>
    <mergeCell ref="C5:E5"/>
    <mergeCell ref="B26:D26"/>
    <mergeCell ref="G26:J26"/>
    <mergeCell ref="B29:D29"/>
    <mergeCell ref="B31:D31"/>
    <mergeCell ref="G31:J31"/>
  </mergeCells>
  <conditionalFormatting sqref="V6:V9 V13">
    <cfRule type="expression" dxfId="88" priority="104">
      <formula>$F$4=$G$4</formula>
    </cfRule>
    <cfRule type="expression" dxfId="87" priority="105">
      <formula>$F$4&lt;$G$4</formula>
    </cfRule>
    <cfRule type="expression" dxfId="86" priority="106">
      <formula>$F$4&gt;$G$4</formula>
    </cfRule>
  </conditionalFormatting>
  <conditionalFormatting sqref="X7:X9 X13">
    <cfRule type="expression" dxfId="85" priority="89">
      <formula>$F$4=$G$4</formula>
    </cfRule>
    <cfRule type="expression" dxfId="84" priority="90">
      <formula>$F$4&lt;$G$4</formula>
    </cfRule>
    <cfRule type="expression" dxfId="83" priority="91">
      <formula>$F$4&gt;$G$4</formula>
    </cfRule>
  </conditionalFormatting>
  <conditionalFormatting sqref="T6">
    <cfRule type="expression" dxfId="82" priority="58">
      <formula>$T$6=0</formula>
    </cfRule>
    <cfRule type="expression" dxfId="81" priority="59">
      <formula>$T$6&lt;0</formula>
    </cfRule>
    <cfRule type="expression" dxfId="80" priority="60">
      <formula>$T$6&gt;0</formula>
    </cfRule>
  </conditionalFormatting>
  <conditionalFormatting sqref="T7">
    <cfRule type="expression" dxfId="79" priority="55">
      <formula>$T$7=0</formula>
    </cfRule>
    <cfRule type="expression" dxfId="78" priority="56">
      <formula>$T$7&gt;0</formula>
    </cfRule>
    <cfRule type="expression" dxfId="77" priority="57">
      <formula>$T$7&lt;0</formula>
    </cfRule>
  </conditionalFormatting>
  <conditionalFormatting sqref="T8">
    <cfRule type="expression" dxfId="76" priority="52">
      <formula>$T$8=0</formula>
    </cfRule>
    <cfRule type="expression" dxfId="75" priority="53">
      <formula>$T$8&lt;0</formula>
    </cfRule>
    <cfRule type="expression" dxfId="74" priority="54">
      <formula>$T$8&gt;0</formula>
    </cfRule>
  </conditionalFormatting>
  <conditionalFormatting sqref="T9:T10">
    <cfRule type="expression" dxfId="73" priority="49">
      <formula>$T$10=0</formula>
    </cfRule>
    <cfRule type="expression" dxfId="72" priority="50">
      <formula>$T$10&lt;0</formula>
    </cfRule>
    <cfRule type="expression" dxfId="71" priority="51">
      <formula>$T$10&gt;0</formula>
    </cfRule>
  </conditionalFormatting>
  <conditionalFormatting sqref="T11:T12">
    <cfRule type="expression" dxfId="70" priority="46">
      <formula>$T$12=0</formula>
    </cfRule>
    <cfRule type="expression" dxfId="69" priority="47">
      <formula>$T$12&lt;0</formula>
    </cfRule>
    <cfRule type="expression" dxfId="68" priority="48">
      <formula>$T$12&gt;0</formula>
    </cfRule>
  </conditionalFormatting>
  <conditionalFormatting sqref="T13">
    <cfRule type="expression" dxfId="67" priority="43">
      <formula>$T$13=0</formula>
    </cfRule>
    <cfRule type="expression" dxfId="66" priority="44">
      <formula>$T$13&gt;0</formula>
    </cfRule>
    <cfRule type="expression" dxfId="65" priority="45">
      <formula>$T$13&lt;0</formula>
    </cfRule>
  </conditionalFormatting>
  <conditionalFormatting sqref="T14:T15">
    <cfRule type="expression" dxfId="64" priority="40">
      <formula>$T$15=0</formula>
    </cfRule>
    <cfRule type="expression" dxfId="63" priority="41">
      <formula>$T$15&lt;0</formula>
    </cfRule>
    <cfRule type="expression" dxfId="62" priority="42">
      <formula>$T$15&gt;0</formula>
    </cfRule>
  </conditionalFormatting>
  <conditionalFormatting sqref="X6">
    <cfRule type="expression" dxfId="61" priority="31">
      <formula>$F$4=$G$4</formula>
    </cfRule>
    <cfRule type="expression" dxfId="60" priority="32">
      <formula>$F$4&lt;$G$4</formula>
    </cfRule>
    <cfRule type="expression" dxfId="59" priority="33">
      <formula>$F$4&gt;$G$4</formula>
    </cfRule>
  </conditionalFormatting>
  <conditionalFormatting sqref="V10:X12">
    <cfRule type="expression" dxfId="58" priority="28">
      <formula>$F$4=$G$4</formula>
    </cfRule>
    <cfRule type="expression" dxfId="57" priority="29">
      <formula>$F$4&lt;$G$4</formula>
    </cfRule>
    <cfRule type="expression" dxfId="56" priority="30">
      <formula>$F$4&gt;$G$4</formula>
    </cfRule>
  </conditionalFormatting>
  <conditionalFormatting sqref="V14:X14">
    <cfRule type="expression" dxfId="55" priority="25">
      <formula>$F$4=$G$4</formula>
    </cfRule>
    <cfRule type="expression" dxfId="54" priority="26">
      <formula>$F$4&lt;$G$4</formula>
    </cfRule>
    <cfRule type="expression" dxfId="53" priority="27">
      <formula>$F$4&gt;$G$4</formula>
    </cfRule>
  </conditionalFormatting>
  <conditionalFormatting sqref="X15:X16">
    <cfRule type="expression" dxfId="52" priority="22">
      <formula>$F$4=$G$4</formula>
    </cfRule>
    <cfRule type="expression" dxfId="51" priority="23">
      <formula>$F$4&lt;$G$4</formula>
    </cfRule>
    <cfRule type="expression" dxfId="50" priority="24">
      <formula>$F$4&gt;$G$4</formula>
    </cfRule>
  </conditionalFormatting>
  <conditionalFormatting sqref="V15:V16">
    <cfRule type="expression" dxfId="49" priority="19">
      <formula>$F$4=$G$4</formula>
    </cfRule>
    <cfRule type="expression" dxfId="48" priority="20">
      <formula>$F$4&lt;$G$4</formula>
    </cfRule>
    <cfRule type="expression" dxfId="47" priority="21">
      <formula>$F$4&gt;$G$4</formula>
    </cfRule>
  </conditionalFormatting>
  <conditionalFormatting sqref="V17:X17">
    <cfRule type="expression" dxfId="46" priority="16">
      <formula>$F$4=$G$4</formula>
    </cfRule>
    <cfRule type="expression" dxfId="45" priority="17">
      <formula>$F$4&lt;$G$4</formula>
    </cfRule>
    <cfRule type="expression" dxfId="44" priority="18">
      <formula>$F$4&gt;$G$4</formula>
    </cfRule>
  </conditionalFormatting>
  <conditionalFormatting sqref="V18">
    <cfRule type="expression" dxfId="43" priority="13">
      <formula>$F$4=$G$4</formula>
    </cfRule>
    <cfRule type="expression" dxfId="42" priority="14">
      <formula>$F$4&lt;$G$4</formula>
    </cfRule>
    <cfRule type="expression" dxfId="41" priority="15">
      <formula>$F$4&gt;$G$4</formula>
    </cfRule>
  </conditionalFormatting>
  <conditionalFormatting sqref="X18">
    <cfRule type="expression" dxfId="40" priority="10">
      <formula>$F$4=$G$4</formula>
    </cfRule>
    <cfRule type="expression" dxfId="39" priority="11">
      <formula>$F$4&lt;$G$4</formula>
    </cfRule>
    <cfRule type="expression" dxfId="38" priority="12">
      <formula>$F$4&gt;$G$4</formula>
    </cfRule>
  </conditionalFormatting>
  <conditionalFormatting sqref="V19:X21 V22 X22">
    <cfRule type="expression" dxfId="37" priority="7">
      <formula>$F$4=$G$4</formula>
    </cfRule>
    <cfRule type="expression" dxfId="36" priority="8">
      <formula>$F$4&lt;$G$4</formula>
    </cfRule>
    <cfRule type="expression" dxfId="35" priority="9">
      <formula>$F$4&gt;$G$4</formula>
    </cfRule>
  </conditionalFormatting>
  <conditionalFormatting sqref="V23">
    <cfRule type="expression" dxfId="34" priority="4">
      <formula>$F$4=$G$4</formula>
    </cfRule>
    <cfRule type="expression" dxfId="33" priority="5">
      <formula>$F$4&lt;$G$4</formula>
    </cfRule>
    <cfRule type="expression" dxfId="32" priority="6">
      <formula>$F$4&gt;$G$4</formula>
    </cfRule>
  </conditionalFormatting>
  <conditionalFormatting sqref="X23">
    <cfRule type="expression" dxfId="31" priority="1">
      <formula>$F$4=$G$4</formula>
    </cfRule>
    <cfRule type="expression" dxfId="30" priority="2">
      <formula>$F$4&lt;$G$4</formula>
    </cfRule>
    <cfRule type="expression" dxfId="29" priority="3">
      <formula>$F$4&gt;$G$4</formula>
    </cfRule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A107"/>
  <sheetViews>
    <sheetView showGridLines="0" tabSelected="1" zoomScale="90" zoomScaleNormal="90" workbookViewId="0">
      <selection activeCell="X6" sqref="X6"/>
    </sheetView>
  </sheetViews>
  <sheetFormatPr defaultColWidth="11.453125" defaultRowHeight="14.5" x14ac:dyDescent="0.35"/>
  <cols>
    <col min="1" max="1" width="26.7265625" style="2" customWidth="1"/>
    <col min="2" max="2" width="12.08984375" style="1" bestFit="1" customWidth="1"/>
    <col min="3" max="3" width="5.453125" style="1" customWidth="1"/>
    <col min="4" max="4" width="2.26953125" style="1" customWidth="1"/>
    <col min="5" max="5" width="1" style="1" customWidth="1"/>
    <col min="6" max="6" width="10.453125" style="1" customWidth="1"/>
    <col min="7" max="7" width="3.54296875" style="1" customWidth="1"/>
    <col min="8" max="8" width="6" style="1" customWidth="1"/>
    <col min="9" max="9" width="0.81640625" style="2" customWidth="1"/>
    <col min="10" max="10" width="0.1796875" style="2" hidden="1" customWidth="1"/>
    <col min="11" max="11" width="1.1796875" style="2" hidden="1" customWidth="1"/>
    <col min="12" max="12" width="10.453125" style="1" customWidth="1"/>
    <col min="13" max="13" width="8.26953125" style="1" customWidth="1"/>
    <col min="14" max="14" width="4.1796875" style="1" customWidth="1"/>
    <col min="15" max="15" width="0.81640625" style="1" customWidth="1"/>
    <col min="16" max="16" width="10.453125" style="1" customWidth="1"/>
    <col min="17" max="17" width="5.26953125" style="1" customWidth="1"/>
    <col min="18" max="18" width="3.26953125" style="1" customWidth="1"/>
    <col min="19" max="19" width="1.26953125" style="1" customWidth="1"/>
    <col min="20" max="20" width="9.7265625" style="1" customWidth="1"/>
    <col min="21" max="21" width="8.1796875" style="1" customWidth="1"/>
    <col min="22" max="22" width="2.1796875" style="2" customWidth="1"/>
    <col min="23" max="23" width="13.26953125" style="1" customWidth="1"/>
    <col min="24" max="24" width="11.453125" style="2"/>
    <col min="25" max="16384" width="11.453125" style="1"/>
  </cols>
  <sheetData>
    <row r="1" spans="2:105" s="2" customFormat="1" ht="6.75" customHeight="1" x14ac:dyDescent="0.35">
      <c r="B1" s="122"/>
      <c r="C1" s="122"/>
      <c r="D1" s="122"/>
      <c r="E1" s="122"/>
      <c r="F1" s="122"/>
      <c r="L1" s="3"/>
      <c r="N1" s="123"/>
      <c r="O1" s="123"/>
      <c r="P1" s="123"/>
    </row>
    <row r="2" spans="2:105" s="2" customFormat="1" ht="21" customHeight="1" x14ac:dyDescent="0.35">
      <c r="B2" s="136" t="s">
        <v>198</v>
      </c>
      <c r="C2" s="140" t="s">
        <v>1</v>
      </c>
      <c r="D2" s="139"/>
      <c r="E2" s="134"/>
      <c r="F2" s="134"/>
      <c r="G2" s="132"/>
      <c r="H2" s="132"/>
      <c r="I2" s="132"/>
      <c r="J2" s="132"/>
      <c r="K2" s="132"/>
      <c r="L2" s="141" t="s">
        <v>199</v>
      </c>
      <c r="M2" s="137"/>
      <c r="N2" s="138"/>
      <c r="O2" s="138"/>
      <c r="P2" s="135"/>
      <c r="Q2" s="132"/>
      <c r="R2" s="132"/>
      <c r="S2" s="132"/>
      <c r="T2" s="132"/>
      <c r="U2" s="132"/>
      <c r="V2" s="133"/>
    </row>
    <row r="3" spans="2:105" ht="17.25" customHeight="1" x14ac:dyDescent="0.35">
      <c r="B3" s="126"/>
      <c r="C3" s="127"/>
      <c r="D3" s="35"/>
      <c r="E3" s="35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35"/>
      <c r="S3" s="35"/>
      <c r="T3" s="127"/>
      <c r="U3" s="127"/>
      <c r="V3" s="46"/>
      <c r="W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</row>
    <row r="4" spans="2:105" ht="24" customHeight="1" x14ac:dyDescent="0.35"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19"/>
      <c r="W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</row>
    <row r="5" spans="2:105" ht="14.25" customHeight="1" x14ac:dyDescent="0.35"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19"/>
      <c r="W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</row>
    <row r="6" spans="2:105" ht="122.25" customHeight="1" x14ac:dyDescent="0.35"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19"/>
      <c r="W6" s="2"/>
      <c r="X6" s="2" t="s">
        <v>23</v>
      </c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</row>
    <row r="7" spans="2:105" s="2" customFormat="1" ht="3.75" customHeight="1" x14ac:dyDescent="0.35">
      <c r="L7" s="24"/>
      <c r="M7" s="24"/>
      <c r="N7" s="24"/>
      <c r="P7" s="24"/>
      <c r="Q7" s="24"/>
      <c r="R7" s="24"/>
      <c r="V7" s="19"/>
    </row>
    <row r="8" spans="2:105" ht="15" customHeight="1" x14ac:dyDescent="0.35">
      <c r="B8" s="114" t="str">
        <f>Data!C6</f>
        <v>Revenues</v>
      </c>
      <c r="C8" s="114"/>
      <c r="D8" s="114"/>
      <c r="E8" s="5"/>
      <c r="F8" s="114" t="str">
        <f>Data!C17</f>
        <v>Profit</v>
      </c>
      <c r="G8" s="114"/>
      <c r="H8" s="114"/>
      <c r="L8" s="114" t="str">
        <f>Data!C11</f>
        <v>Orders Placed</v>
      </c>
      <c r="M8" s="114"/>
      <c r="N8" s="114"/>
      <c r="O8" s="47"/>
      <c r="P8" s="114" t="str">
        <f>Data!C23</f>
        <v>Conversion Rate</v>
      </c>
      <c r="Q8" s="114"/>
      <c r="R8" s="114"/>
      <c r="S8" s="47"/>
      <c r="T8" s="114" t="str">
        <f>Data!C10</f>
        <v>Customers</v>
      </c>
      <c r="U8" s="114"/>
      <c r="V8" s="19"/>
      <c r="W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</row>
    <row r="9" spans="2:105" ht="9.75" customHeight="1" x14ac:dyDescent="0.35">
      <c r="B9" s="125">
        <f>Data!V6</f>
        <v>4740</v>
      </c>
      <c r="C9" s="125"/>
      <c r="D9" s="125"/>
      <c r="E9" s="27"/>
      <c r="F9" s="115">
        <f>Data!V17</f>
        <v>1867</v>
      </c>
      <c r="G9" s="115"/>
      <c r="H9" s="115"/>
      <c r="I9" s="28"/>
      <c r="J9" s="28"/>
      <c r="K9" s="28"/>
      <c r="L9" s="115">
        <f>Data!V11</f>
        <v>56</v>
      </c>
      <c r="M9" s="115"/>
      <c r="N9" s="115"/>
      <c r="O9" s="27"/>
      <c r="P9" s="118">
        <f>Data!V23</f>
        <v>0.15864022662889518</v>
      </c>
      <c r="Q9" s="118"/>
      <c r="R9" s="118"/>
      <c r="S9" s="27"/>
      <c r="T9" s="115">
        <f>Data!V10</f>
        <v>30</v>
      </c>
      <c r="U9" s="115"/>
      <c r="V9" s="19"/>
      <c r="W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</row>
    <row r="10" spans="2:105" ht="18" customHeight="1" x14ac:dyDescent="0.35">
      <c r="B10" s="125"/>
      <c r="C10" s="125"/>
      <c r="D10" s="125"/>
      <c r="E10" s="27"/>
      <c r="F10" s="115"/>
      <c r="G10" s="115"/>
      <c r="H10" s="115"/>
      <c r="I10" s="28"/>
      <c r="J10" s="28"/>
      <c r="K10" s="28"/>
      <c r="L10" s="115"/>
      <c r="M10" s="115"/>
      <c r="N10" s="115"/>
      <c r="O10" s="27"/>
      <c r="P10" s="118"/>
      <c r="Q10" s="118"/>
      <c r="R10" s="118"/>
      <c r="S10" s="27"/>
      <c r="T10" s="115"/>
      <c r="U10" s="115"/>
      <c r="V10" s="19"/>
      <c r="W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</row>
    <row r="11" spans="2:105" ht="20.25" customHeight="1" x14ac:dyDescent="0.35">
      <c r="B11" s="8"/>
      <c r="C11" s="8"/>
      <c r="D11" s="8"/>
      <c r="E11" s="6"/>
      <c r="F11" s="7"/>
      <c r="G11" s="7"/>
      <c r="H11" s="7"/>
      <c r="L11" s="9"/>
      <c r="M11" s="9"/>
      <c r="N11" s="9"/>
      <c r="O11" s="6"/>
      <c r="P11" s="7"/>
      <c r="Q11" s="7"/>
      <c r="R11" s="7"/>
      <c r="S11" s="6"/>
      <c r="T11" s="12"/>
      <c r="U11" s="12"/>
      <c r="V11" s="19"/>
      <c r="W11" s="2"/>
      <c r="X11" s="2" t="s">
        <v>23</v>
      </c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</row>
    <row r="12" spans="2:105" ht="24" customHeight="1" x14ac:dyDescent="0.35">
      <c r="B12" s="116"/>
      <c r="C12" s="116"/>
      <c r="D12" s="116"/>
      <c r="E12" s="6"/>
      <c r="F12" s="124"/>
      <c r="G12" s="124"/>
      <c r="H12" s="124"/>
      <c r="L12" s="119"/>
      <c r="M12" s="120"/>
      <c r="N12" s="120"/>
      <c r="O12" s="6"/>
      <c r="P12" s="119"/>
      <c r="Q12" s="119"/>
      <c r="R12" s="119"/>
      <c r="S12" s="6"/>
      <c r="T12" s="119"/>
      <c r="U12" s="120"/>
      <c r="V12" s="19"/>
      <c r="W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</row>
    <row r="13" spans="2:105" s="2" customFormat="1" ht="2.25" customHeight="1" x14ac:dyDescent="0.35">
      <c r="B13" s="6"/>
      <c r="C13" s="6"/>
      <c r="D13" s="6"/>
      <c r="E13" s="6"/>
      <c r="F13" s="6"/>
      <c r="G13" s="6"/>
      <c r="H13" s="6"/>
      <c r="L13" s="6"/>
      <c r="M13" s="6"/>
      <c r="N13" s="6"/>
      <c r="O13" s="6"/>
      <c r="P13" s="6"/>
      <c r="Q13" s="6"/>
      <c r="R13" s="6"/>
      <c r="S13" s="6"/>
      <c r="T13" s="21"/>
      <c r="U13" s="21"/>
      <c r="V13" s="19"/>
    </row>
    <row r="14" spans="2:105" ht="15" customHeight="1" x14ac:dyDescent="0.35">
      <c r="B14" s="114" t="str">
        <f>Data!C12</f>
        <v>Purchased Items</v>
      </c>
      <c r="C14" s="114"/>
      <c r="D14" s="114"/>
      <c r="E14" s="47"/>
      <c r="F14" s="114" t="str">
        <f>Data!C18</f>
        <v>% Profit</v>
      </c>
      <c r="G14" s="114"/>
      <c r="H14" s="114"/>
      <c r="I14" s="48"/>
      <c r="J14" s="48"/>
      <c r="K14" s="48"/>
      <c r="L14" s="114" t="str">
        <f>Data!C9</f>
        <v>Monthly Growth</v>
      </c>
      <c r="M14" s="114"/>
      <c r="N14" s="114"/>
      <c r="O14" s="47"/>
      <c r="P14" s="114" t="str">
        <f>Data!C13</f>
        <v>AVG Sales / Customer</v>
      </c>
      <c r="Q14" s="114"/>
      <c r="R14" s="114"/>
      <c r="S14" s="47"/>
      <c r="T14" s="114" t="str">
        <f>Data!C14</f>
        <v>AVG Ticket Sales</v>
      </c>
      <c r="U14" s="114"/>
      <c r="V14" s="19"/>
      <c r="W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</row>
    <row r="15" spans="2:105" ht="8.25" customHeight="1" x14ac:dyDescent="0.35">
      <c r="B15" s="115">
        <f>Data!V12</f>
        <v>49</v>
      </c>
      <c r="C15" s="115"/>
      <c r="D15" s="115"/>
      <c r="E15" s="94"/>
      <c r="F15" s="117">
        <f>Data!V18</f>
        <v>0.3938818565400844</v>
      </c>
      <c r="G15" s="117"/>
      <c r="H15" s="117"/>
      <c r="I15" s="95"/>
      <c r="J15" s="95"/>
      <c r="K15" s="95"/>
      <c r="L15" s="117">
        <f>Data!V9</f>
        <v>-3.5605289928789419E-2</v>
      </c>
      <c r="M15" s="117"/>
      <c r="N15" s="117"/>
      <c r="O15" s="94"/>
      <c r="P15" s="121">
        <f>Data!V13</f>
        <v>158</v>
      </c>
      <c r="Q15" s="121"/>
      <c r="R15" s="121"/>
      <c r="S15" s="94"/>
      <c r="T15" s="115">
        <f>Data!V14</f>
        <v>84.642857142857139</v>
      </c>
      <c r="U15" s="115"/>
      <c r="V15" s="19"/>
      <c r="W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</row>
    <row r="16" spans="2:105" ht="18" customHeight="1" x14ac:dyDescent="0.35">
      <c r="B16" s="115"/>
      <c r="C16" s="115"/>
      <c r="D16" s="115"/>
      <c r="E16" s="94"/>
      <c r="F16" s="118"/>
      <c r="G16" s="118"/>
      <c r="H16" s="118"/>
      <c r="I16" s="95"/>
      <c r="J16" s="95"/>
      <c r="K16" s="95"/>
      <c r="L16" s="118"/>
      <c r="M16" s="118"/>
      <c r="N16" s="118"/>
      <c r="O16" s="94"/>
      <c r="P16" s="115"/>
      <c r="Q16" s="115"/>
      <c r="R16" s="115"/>
      <c r="S16" s="94"/>
      <c r="T16" s="115"/>
      <c r="U16" s="115"/>
      <c r="V16" s="19"/>
      <c r="W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</row>
    <row r="17" spans="2:105" ht="20.25" customHeight="1" x14ac:dyDescent="0.35">
      <c r="B17" s="14"/>
      <c r="C17" s="14"/>
      <c r="D17" s="14"/>
      <c r="E17" s="6"/>
      <c r="F17" s="12"/>
      <c r="G17" s="12"/>
      <c r="H17" s="12"/>
      <c r="L17" s="12"/>
      <c r="M17" s="12"/>
      <c r="N17" s="12"/>
      <c r="O17" s="6"/>
      <c r="P17" s="12"/>
      <c r="Q17" s="12"/>
      <c r="R17" s="12"/>
      <c r="S17" s="6"/>
      <c r="T17" s="13"/>
      <c r="U17" s="13"/>
      <c r="V17" s="19"/>
      <c r="W17" s="2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</row>
    <row r="18" spans="2:105" ht="23.25" customHeight="1" x14ac:dyDescent="0.35">
      <c r="B18" s="116"/>
      <c r="C18" s="116"/>
      <c r="D18" s="116"/>
      <c r="E18" s="6"/>
      <c r="F18" s="119"/>
      <c r="G18" s="120"/>
      <c r="H18" s="120"/>
      <c r="L18" s="119"/>
      <c r="M18" s="120"/>
      <c r="N18" s="120"/>
      <c r="O18" s="6"/>
      <c r="P18" s="119"/>
      <c r="Q18" s="120"/>
      <c r="R18" s="120"/>
      <c r="S18" s="6"/>
      <c r="T18" s="119"/>
      <c r="U18" s="120"/>
      <c r="V18" s="19"/>
      <c r="W18" s="2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</row>
    <row r="19" spans="2:105" s="2" customFormat="1" ht="3.75" customHeight="1" x14ac:dyDescent="0.35">
      <c r="L19" s="4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</row>
    <row r="20" spans="2:105" s="2" customFormat="1" ht="24" customHeight="1" x14ac:dyDescent="0.35">
      <c r="U20" s="10"/>
      <c r="V20" s="10"/>
      <c r="W20" s="10"/>
      <c r="X20" s="6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</row>
    <row r="21" spans="2:105" s="2" customFormat="1" ht="6.75" customHeight="1" x14ac:dyDescent="0.35">
      <c r="U21" s="10"/>
      <c r="V21" s="10"/>
      <c r="W21" s="6"/>
      <c r="X21" s="6"/>
      <c r="Y21" s="6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</row>
    <row r="22" spans="2:105" s="2" customFormat="1" ht="24" customHeight="1" x14ac:dyDescent="0.35">
      <c r="U22" s="10"/>
      <c r="V22" s="10"/>
      <c r="W22" s="6"/>
      <c r="X22" s="6"/>
      <c r="Y22" s="6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</row>
    <row r="23" spans="2:105" s="2" customFormat="1" ht="24" customHeight="1" x14ac:dyDescent="0.35">
      <c r="U23" s="10"/>
      <c r="V23" s="10"/>
      <c r="W23" s="6"/>
      <c r="X23" s="6"/>
      <c r="Y23" s="6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</row>
    <row r="24" spans="2:105" s="2" customFormat="1" ht="24" customHeight="1" x14ac:dyDescent="0.35">
      <c r="U24" s="10"/>
      <c r="V24" s="10"/>
      <c r="W24" s="6"/>
      <c r="Y24" s="6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</row>
    <row r="25" spans="2:105" s="2" customFormat="1" ht="24" customHeight="1" x14ac:dyDescent="0.35">
      <c r="T25" s="10"/>
      <c r="U25" s="10"/>
      <c r="V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</row>
    <row r="26" spans="2:105" s="2" customFormat="1" ht="24" customHeight="1" x14ac:dyDescent="0.35">
      <c r="T26" s="10"/>
      <c r="U26" s="10"/>
    </row>
    <row r="27" spans="2:105" ht="24" customHeight="1" x14ac:dyDescent="0.35">
      <c r="B27" s="2"/>
      <c r="C27" s="2"/>
      <c r="D27" s="2"/>
      <c r="E27" s="2"/>
      <c r="F27" s="2"/>
      <c r="G27" s="2"/>
      <c r="H27" s="2"/>
      <c r="L27" s="2"/>
      <c r="M27" s="2"/>
      <c r="N27" s="2"/>
      <c r="O27" s="2"/>
      <c r="P27" s="2"/>
      <c r="Q27" s="2"/>
      <c r="R27" s="2"/>
      <c r="S27" s="2"/>
      <c r="T27" s="10"/>
      <c r="U27" s="10"/>
      <c r="W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</row>
    <row r="28" spans="2:105" ht="24" customHeight="1" x14ac:dyDescent="0.35">
      <c r="B28" s="2"/>
      <c r="C28" s="2"/>
      <c r="D28" s="2"/>
      <c r="E28" s="2"/>
      <c r="F28" s="2"/>
      <c r="G28" s="2"/>
      <c r="H28" s="2"/>
      <c r="L28" s="2"/>
      <c r="M28" s="2"/>
      <c r="N28" s="2"/>
      <c r="O28" s="2"/>
      <c r="P28" s="2"/>
      <c r="Q28" s="2"/>
      <c r="R28" s="2"/>
      <c r="S28" s="2"/>
      <c r="T28" s="2"/>
      <c r="U28" s="2"/>
      <c r="W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</row>
    <row r="29" spans="2:105" ht="24" customHeight="1" x14ac:dyDescent="0.35">
      <c r="B29" s="2"/>
      <c r="C29" s="2"/>
      <c r="D29" s="2"/>
      <c r="E29" s="2"/>
      <c r="F29" s="2"/>
      <c r="G29" s="2"/>
      <c r="H29" s="2"/>
      <c r="L29" s="2"/>
      <c r="M29" s="2"/>
      <c r="N29" s="2"/>
      <c r="O29" s="2"/>
      <c r="P29" s="2"/>
      <c r="Q29" s="2"/>
      <c r="R29" s="2"/>
      <c r="S29" s="2"/>
      <c r="T29" s="2"/>
      <c r="U29" s="2"/>
      <c r="W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</row>
    <row r="30" spans="2:105" ht="24" customHeight="1" x14ac:dyDescent="0.35">
      <c r="B30" s="2"/>
      <c r="C30" s="2"/>
      <c r="D30" s="2"/>
      <c r="E30" s="2"/>
      <c r="F30" s="2"/>
      <c r="G30" s="2"/>
      <c r="H30" s="2"/>
      <c r="L30" s="2"/>
      <c r="M30" s="2"/>
      <c r="N30" s="2"/>
      <c r="O30" s="2"/>
      <c r="P30" s="2"/>
      <c r="Q30" s="2"/>
      <c r="R30" s="2"/>
      <c r="S30" s="2"/>
      <c r="T30" s="2"/>
      <c r="U30" s="2"/>
      <c r="W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</row>
    <row r="31" spans="2:105" ht="24" customHeight="1" x14ac:dyDescent="0.35">
      <c r="B31" s="2"/>
      <c r="C31" s="2"/>
      <c r="D31" s="2"/>
      <c r="E31" s="2"/>
      <c r="F31" s="2"/>
      <c r="G31" s="2"/>
      <c r="H31" s="2"/>
      <c r="L31" s="2"/>
      <c r="M31" s="2"/>
      <c r="N31" s="2"/>
      <c r="O31" s="2"/>
      <c r="P31" s="2"/>
      <c r="Q31" s="2"/>
      <c r="R31" s="2"/>
      <c r="S31" s="2"/>
      <c r="T31" s="2"/>
      <c r="U31" s="2"/>
      <c r="W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</row>
    <row r="32" spans="2:105" ht="24" customHeight="1" x14ac:dyDescent="0.35">
      <c r="B32" s="2"/>
      <c r="C32" s="2"/>
      <c r="D32" s="2"/>
      <c r="E32" s="2"/>
      <c r="F32" s="2"/>
      <c r="G32" s="2"/>
      <c r="H32" s="2"/>
      <c r="L32" s="2"/>
      <c r="M32" s="2"/>
      <c r="N32" s="2"/>
      <c r="O32" s="2"/>
      <c r="P32" s="2"/>
      <c r="Q32" s="2"/>
      <c r="R32" s="2"/>
      <c r="S32" s="2"/>
      <c r="T32" s="2"/>
      <c r="U32" s="2"/>
      <c r="W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</row>
    <row r="33" spans="2:105" ht="24" customHeight="1" x14ac:dyDescent="0.35">
      <c r="B33" s="2"/>
      <c r="C33" s="2"/>
      <c r="D33" s="2"/>
      <c r="E33" s="2"/>
      <c r="F33" s="2"/>
      <c r="G33" s="2"/>
      <c r="H33" s="2"/>
      <c r="L33" s="2"/>
      <c r="M33" s="2"/>
      <c r="N33" s="2"/>
      <c r="O33" s="2"/>
      <c r="P33" s="2"/>
      <c r="Q33" s="2"/>
      <c r="R33" s="2"/>
      <c r="S33" s="2"/>
      <c r="T33" s="2"/>
      <c r="U33" s="2"/>
      <c r="W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</row>
    <row r="34" spans="2:105" ht="24" customHeight="1" x14ac:dyDescent="0.35">
      <c r="B34" s="2"/>
      <c r="C34" s="2"/>
      <c r="D34" s="2"/>
      <c r="E34" s="2"/>
      <c r="F34" s="2"/>
      <c r="G34" s="2"/>
      <c r="H34" s="2"/>
      <c r="L34" s="2"/>
      <c r="M34" s="2"/>
      <c r="N34" s="2"/>
      <c r="O34" s="2"/>
      <c r="P34" s="2"/>
      <c r="Q34" s="2"/>
      <c r="R34" s="2"/>
      <c r="S34" s="2"/>
      <c r="T34" s="2"/>
      <c r="U34" s="2"/>
      <c r="W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</row>
    <row r="35" spans="2:105" ht="24" customHeight="1" x14ac:dyDescent="0.35">
      <c r="B35" s="2"/>
      <c r="C35" s="2"/>
      <c r="D35" s="2"/>
      <c r="E35" s="2"/>
      <c r="F35" s="2"/>
      <c r="G35" s="2"/>
      <c r="H35" s="2"/>
      <c r="L35" s="2"/>
      <c r="M35" s="2"/>
      <c r="N35" s="2"/>
      <c r="O35" s="2"/>
      <c r="P35" s="2"/>
      <c r="Q35" s="2"/>
      <c r="R35" s="2"/>
      <c r="S35" s="2"/>
      <c r="T35" s="2"/>
      <c r="U35" s="2"/>
      <c r="W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</row>
    <row r="36" spans="2:105" ht="24" customHeight="1" x14ac:dyDescent="0.35">
      <c r="B36" s="2"/>
      <c r="C36" s="2"/>
      <c r="D36" s="2"/>
      <c r="E36" s="2"/>
      <c r="F36" s="2"/>
      <c r="G36" s="2"/>
      <c r="H36" s="2"/>
      <c r="L36" s="2"/>
      <c r="M36" s="2"/>
      <c r="N36" s="2"/>
      <c r="O36" s="2"/>
      <c r="P36" s="2"/>
      <c r="Q36" s="2"/>
      <c r="R36" s="2"/>
      <c r="S36" s="2"/>
      <c r="T36" s="2"/>
      <c r="U36" s="2"/>
      <c r="W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</row>
    <row r="37" spans="2:105" ht="24" customHeight="1" x14ac:dyDescent="0.35">
      <c r="B37" s="2"/>
      <c r="C37" s="2"/>
      <c r="D37" s="2"/>
      <c r="E37" s="2"/>
      <c r="F37" s="2"/>
      <c r="G37" s="2"/>
      <c r="H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</row>
    <row r="38" spans="2:105" ht="24" customHeight="1" x14ac:dyDescent="0.35">
      <c r="B38" s="2"/>
      <c r="C38" s="2"/>
      <c r="D38" s="2"/>
      <c r="E38" s="2"/>
      <c r="F38" s="2"/>
      <c r="G38" s="2"/>
      <c r="H38" s="2"/>
      <c r="L38" s="2"/>
      <c r="M38" s="2"/>
      <c r="N38" s="2"/>
      <c r="O38" s="2"/>
      <c r="P38" s="2"/>
      <c r="Q38" s="2"/>
      <c r="R38" s="2"/>
      <c r="S38" s="2"/>
      <c r="T38" s="2"/>
      <c r="U38" s="2"/>
      <c r="W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</row>
    <row r="39" spans="2:105" ht="24" customHeight="1" x14ac:dyDescent="0.35">
      <c r="B39" s="2"/>
      <c r="C39" s="2"/>
      <c r="D39" s="2"/>
      <c r="E39" s="2"/>
      <c r="F39" s="2"/>
      <c r="G39" s="2"/>
      <c r="H39" s="2"/>
      <c r="L39" s="2"/>
      <c r="M39" s="2"/>
      <c r="N39" s="2"/>
      <c r="O39" s="2"/>
      <c r="P39" s="2"/>
      <c r="Q39" s="2"/>
      <c r="R39" s="2"/>
      <c r="S39" s="2"/>
      <c r="T39" s="2"/>
      <c r="U39" s="2"/>
      <c r="W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</row>
    <row r="40" spans="2:105" ht="24" customHeight="1" x14ac:dyDescent="0.35">
      <c r="B40" s="2"/>
      <c r="C40" s="2"/>
      <c r="D40" s="2"/>
      <c r="E40" s="2"/>
      <c r="F40" s="2"/>
      <c r="G40" s="2"/>
      <c r="H40" s="2"/>
      <c r="L40" s="2"/>
      <c r="M40" s="2"/>
      <c r="N40" s="2"/>
      <c r="O40" s="2"/>
      <c r="P40" s="2"/>
      <c r="Q40" s="2"/>
      <c r="R40" s="2"/>
      <c r="S40" s="2"/>
      <c r="T40" s="2"/>
      <c r="U40" s="2"/>
      <c r="W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</row>
    <row r="41" spans="2:105" ht="24" customHeight="1" x14ac:dyDescent="0.35">
      <c r="B41" s="2"/>
      <c r="C41" s="2"/>
      <c r="D41" s="2"/>
      <c r="E41" s="2"/>
      <c r="F41" s="2"/>
      <c r="G41" s="2"/>
      <c r="H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</row>
    <row r="42" spans="2:105" ht="24" customHeight="1" x14ac:dyDescent="0.35">
      <c r="B42" s="2"/>
      <c r="C42" s="2"/>
      <c r="D42" s="2"/>
      <c r="E42" s="2"/>
      <c r="F42" s="2"/>
      <c r="G42" s="2"/>
      <c r="H42" s="2"/>
      <c r="L42" s="2"/>
      <c r="M42" s="2"/>
      <c r="N42" s="2"/>
      <c r="O42" s="2"/>
      <c r="P42" s="2"/>
      <c r="Q42" s="2"/>
      <c r="R42" s="2"/>
      <c r="S42" s="2"/>
      <c r="T42" s="2"/>
      <c r="U42" s="2"/>
      <c r="W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</row>
    <row r="43" spans="2:105" ht="24" customHeight="1" x14ac:dyDescent="0.35">
      <c r="B43" s="2"/>
      <c r="C43" s="2"/>
      <c r="D43" s="2"/>
      <c r="E43" s="2"/>
      <c r="F43" s="2"/>
      <c r="G43" s="2"/>
      <c r="H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</row>
    <row r="44" spans="2:105" ht="24" customHeight="1" x14ac:dyDescent="0.35">
      <c r="B44" s="2"/>
      <c r="C44" s="2"/>
      <c r="D44" s="2"/>
      <c r="E44" s="2"/>
      <c r="F44" s="2"/>
      <c r="G44" s="2"/>
      <c r="H44" s="2"/>
      <c r="L44" s="2"/>
      <c r="M44" s="2"/>
      <c r="N44" s="2"/>
      <c r="O44" s="2"/>
      <c r="P44" s="2"/>
      <c r="Q44" s="2"/>
      <c r="R44" s="2"/>
      <c r="S44" s="2"/>
      <c r="T44" s="2"/>
      <c r="U44" s="2"/>
      <c r="W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</row>
    <row r="45" spans="2:105" ht="24" customHeight="1" x14ac:dyDescent="0.35">
      <c r="B45" s="2"/>
      <c r="C45" s="2"/>
      <c r="D45" s="2"/>
      <c r="E45" s="2"/>
      <c r="F45" s="2"/>
      <c r="G45" s="2"/>
      <c r="H45" s="2"/>
      <c r="L45" s="2"/>
      <c r="M45" s="2"/>
      <c r="N45" s="2"/>
      <c r="O45" s="2"/>
      <c r="P45" s="2"/>
      <c r="Q45" s="2"/>
      <c r="R45" s="2"/>
      <c r="S45" s="2"/>
      <c r="T45" s="2"/>
      <c r="U45" s="2"/>
      <c r="W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</row>
    <row r="46" spans="2:105" ht="24" customHeight="1" x14ac:dyDescent="0.35">
      <c r="B46" s="2"/>
      <c r="C46" s="2"/>
      <c r="D46" s="2"/>
      <c r="E46" s="2"/>
      <c r="F46" s="2"/>
      <c r="G46" s="2"/>
      <c r="H46" s="2"/>
      <c r="L46" s="2"/>
      <c r="M46" s="2"/>
      <c r="N46" s="2"/>
      <c r="O46" s="2"/>
      <c r="P46" s="2"/>
      <c r="Q46" s="2"/>
      <c r="R46" s="2"/>
      <c r="S46" s="2"/>
      <c r="T46" s="2"/>
      <c r="U46" s="2"/>
      <c r="W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</row>
    <row r="47" spans="2:105" ht="24" customHeight="1" x14ac:dyDescent="0.35">
      <c r="B47" s="2"/>
      <c r="C47" s="2"/>
      <c r="D47" s="2"/>
      <c r="E47" s="2"/>
      <c r="F47" s="2"/>
      <c r="G47" s="2"/>
      <c r="H47" s="2"/>
      <c r="L47" s="2"/>
      <c r="M47" s="2"/>
      <c r="N47" s="2"/>
      <c r="O47" s="2"/>
      <c r="P47" s="2"/>
      <c r="Q47" s="2"/>
      <c r="R47" s="2"/>
      <c r="S47" s="2"/>
      <c r="T47" s="2"/>
      <c r="U47" s="2"/>
      <c r="W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</row>
    <row r="48" spans="2:105" ht="24" customHeight="1" x14ac:dyDescent="0.35">
      <c r="B48" s="2"/>
      <c r="C48" s="2"/>
      <c r="D48" s="2"/>
      <c r="E48" s="2"/>
      <c r="F48" s="2"/>
      <c r="G48" s="2"/>
      <c r="H48" s="2"/>
      <c r="L48" s="2"/>
      <c r="M48" s="2"/>
      <c r="N48" s="2"/>
      <c r="O48" s="2"/>
      <c r="P48" s="2"/>
      <c r="Q48" s="2"/>
      <c r="R48" s="2"/>
      <c r="S48" s="2"/>
      <c r="T48" s="2"/>
      <c r="U48" s="2"/>
      <c r="W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</row>
    <row r="49" spans="2:105" ht="24" customHeight="1" x14ac:dyDescent="0.35">
      <c r="B49" s="2"/>
      <c r="C49" s="2"/>
      <c r="D49" s="2"/>
      <c r="E49" s="2"/>
      <c r="F49" s="2"/>
      <c r="G49" s="2"/>
      <c r="H49" s="2"/>
      <c r="L49" s="2"/>
      <c r="M49" s="2"/>
      <c r="N49" s="2"/>
      <c r="O49" s="2"/>
      <c r="P49" s="2"/>
      <c r="Q49" s="2"/>
      <c r="R49" s="2"/>
      <c r="S49" s="2"/>
      <c r="T49" s="2"/>
      <c r="U49" s="2"/>
      <c r="W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</row>
    <row r="50" spans="2:105" ht="24" customHeight="1" x14ac:dyDescent="0.35">
      <c r="B50" s="2"/>
      <c r="C50" s="2"/>
      <c r="D50" s="2"/>
      <c r="E50" s="2"/>
      <c r="F50" s="2"/>
      <c r="G50" s="2"/>
      <c r="H50" s="2"/>
      <c r="L50" s="2"/>
      <c r="M50" s="2"/>
      <c r="N50" s="2"/>
      <c r="O50" s="2"/>
      <c r="P50" s="2"/>
      <c r="Q50" s="2"/>
      <c r="R50" s="2"/>
      <c r="S50" s="2"/>
      <c r="T50" s="2"/>
      <c r="U50" s="2"/>
      <c r="W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</row>
    <row r="51" spans="2:105" ht="24" customHeight="1" x14ac:dyDescent="0.35">
      <c r="B51" s="2"/>
      <c r="C51" s="2"/>
      <c r="D51" s="2"/>
      <c r="E51" s="2"/>
      <c r="F51" s="2"/>
      <c r="G51" s="2"/>
      <c r="H51" s="2"/>
      <c r="L51" s="2"/>
      <c r="M51" s="2"/>
      <c r="N51" s="2"/>
      <c r="O51" s="2"/>
      <c r="P51" s="2"/>
      <c r="Q51" s="2"/>
      <c r="R51" s="2"/>
      <c r="S51" s="2"/>
      <c r="T51" s="2"/>
      <c r="U51" s="2"/>
      <c r="W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</row>
    <row r="52" spans="2:105" ht="24" customHeight="1" x14ac:dyDescent="0.35">
      <c r="B52" s="2"/>
      <c r="C52" s="2"/>
      <c r="D52" s="2"/>
      <c r="E52" s="2"/>
      <c r="F52" s="2"/>
      <c r="G52" s="2"/>
      <c r="H52" s="2"/>
      <c r="L52" s="2"/>
      <c r="M52" s="2"/>
      <c r="N52" s="2"/>
      <c r="O52" s="2"/>
      <c r="P52" s="2"/>
      <c r="Q52" s="2"/>
      <c r="R52" s="2"/>
      <c r="S52" s="2"/>
      <c r="T52" s="2"/>
      <c r="U52" s="2"/>
      <c r="W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</row>
    <row r="53" spans="2:105" ht="24" customHeight="1" x14ac:dyDescent="0.35">
      <c r="B53" s="2"/>
      <c r="C53" s="2"/>
      <c r="D53" s="2"/>
      <c r="E53" s="2"/>
      <c r="F53" s="2"/>
      <c r="G53" s="2"/>
      <c r="H53" s="2"/>
      <c r="L53" s="2"/>
      <c r="M53" s="2"/>
      <c r="N53" s="2"/>
      <c r="O53" s="2"/>
      <c r="P53" s="2"/>
      <c r="Q53" s="2"/>
      <c r="R53" s="2"/>
      <c r="S53" s="2"/>
      <c r="T53" s="2"/>
      <c r="U53" s="2"/>
      <c r="W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</row>
    <row r="54" spans="2:105" ht="24" customHeight="1" x14ac:dyDescent="0.35">
      <c r="B54" s="2"/>
      <c r="C54" s="2"/>
      <c r="D54" s="2"/>
      <c r="E54" s="2"/>
      <c r="F54" s="2"/>
      <c r="G54" s="2"/>
      <c r="H54" s="2"/>
      <c r="L54" s="2"/>
      <c r="M54" s="2"/>
      <c r="N54" s="2"/>
      <c r="O54" s="2"/>
      <c r="P54" s="2"/>
      <c r="Q54" s="2"/>
      <c r="R54" s="2"/>
      <c r="S54" s="2"/>
      <c r="T54" s="2"/>
      <c r="U54" s="2"/>
      <c r="W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</row>
    <row r="55" spans="2:105" ht="24" customHeight="1" x14ac:dyDescent="0.35">
      <c r="B55" s="2"/>
      <c r="C55" s="2"/>
      <c r="D55" s="2"/>
      <c r="E55" s="2"/>
      <c r="F55" s="2"/>
      <c r="G55" s="2"/>
      <c r="H55" s="2"/>
      <c r="L55" s="2"/>
      <c r="M55" s="2"/>
      <c r="N55" s="2"/>
      <c r="O55" s="2"/>
      <c r="P55" s="2"/>
      <c r="Q55" s="2"/>
      <c r="R55" s="2"/>
      <c r="S55" s="2"/>
      <c r="T55" s="2"/>
      <c r="U55" s="2"/>
      <c r="W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</row>
    <row r="56" spans="2:105" ht="24" customHeight="1" x14ac:dyDescent="0.35">
      <c r="B56" s="2"/>
      <c r="C56" s="2"/>
      <c r="D56" s="2"/>
      <c r="E56" s="2"/>
      <c r="F56" s="2"/>
      <c r="G56" s="2"/>
      <c r="H56" s="2"/>
      <c r="L56" s="2"/>
      <c r="M56" s="2"/>
      <c r="N56" s="2"/>
      <c r="O56" s="2"/>
      <c r="P56" s="2"/>
      <c r="Q56" s="2"/>
      <c r="R56" s="2"/>
      <c r="S56" s="2"/>
      <c r="T56" s="2"/>
      <c r="U56" s="2"/>
      <c r="W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</row>
    <row r="57" spans="2:105" ht="24" customHeight="1" x14ac:dyDescent="0.35">
      <c r="B57" s="2"/>
      <c r="C57" s="2"/>
      <c r="D57" s="2"/>
      <c r="E57" s="2"/>
      <c r="F57" s="2"/>
      <c r="G57" s="2"/>
      <c r="H57" s="2"/>
      <c r="L57" s="2"/>
      <c r="M57" s="2"/>
      <c r="N57" s="2"/>
      <c r="O57" s="2"/>
      <c r="P57" s="2"/>
      <c r="Q57" s="2"/>
      <c r="R57" s="2"/>
      <c r="S57" s="2"/>
      <c r="T57" s="2"/>
      <c r="U57" s="2"/>
      <c r="W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</row>
    <row r="58" spans="2:105" ht="24" customHeight="1" x14ac:dyDescent="0.35">
      <c r="B58" s="2"/>
      <c r="C58" s="2"/>
      <c r="D58" s="2"/>
      <c r="E58" s="2"/>
      <c r="F58" s="2"/>
      <c r="G58" s="2"/>
      <c r="H58" s="2"/>
      <c r="L58" s="2"/>
      <c r="M58" s="2"/>
      <c r="N58" s="2"/>
      <c r="O58" s="2"/>
      <c r="P58" s="2"/>
      <c r="Q58" s="2"/>
      <c r="R58" s="2"/>
      <c r="S58" s="2"/>
      <c r="T58" s="2"/>
      <c r="U58" s="2"/>
      <c r="W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</row>
    <row r="59" spans="2:105" ht="24" customHeight="1" x14ac:dyDescent="0.35">
      <c r="B59" s="2"/>
      <c r="C59" s="2"/>
      <c r="D59" s="2"/>
      <c r="E59" s="2"/>
      <c r="F59" s="2"/>
      <c r="G59" s="2"/>
      <c r="H59" s="2"/>
      <c r="L59" s="2"/>
      <c r="M59" s="2"/>
      <c r="N59" s="2"/>
      <c r="O59" s="2"/>
      <c r="P59" s="2"/>
      <c r="Q59" s="2"/>
      <c r="R59" s="2"/>
      <c r="S59" s="2"/>
      <c r="T59" s="2"/>
      <c r="U59" s="2"/>
      <c r="W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</row>
    <row r="60" spans="2:105" ht="24" customHeight="1" x14ac:dyDescent="0.35">
      <c r="B60" s="2"/>
      <c r="C60" s="2"/>
      <c r="D60" s="2"/>
      <c r="E60" s="2"/>
      <c r="F60" s="2"/>
      <c r="G60" s="2"/>
      <c r="H60" s="2"/>
      <c r="L60" s="2"/>
      <c r="M60" s="2"/>
      <c r="N60" s="2"/>
      <c r="O60" s="2"/>
      <c r="P60" s="2"/>
      <c r="Q60" s="2"/>
      <c r="R60" s="2"/>
      <c r="S60" s="2"/>
      <c r="T60" s="2"/>
      <c r="U60" s="2"/>
      <c r="W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</row>
    <row r="61" spans="2:105" ht="24" customHeight="1" x14ac:dyDescent="0.35">
      <c r="B61" s="2"/>
      <c r="C61" s="2"/>
      <c r="D61" s="2"/>
      <c r="E61" s="2"/>
      <c r="F61" s="2"/>
      <c r="G61" s="2"/>
      <c r="H61" s="2"/>
      <c r="L61" s="2"/>
      <c r="M61" s="2"/>
      <c r="N61" s="2"/>
      <c r="O61" s="2"/>
      <c r="P61" s="2"/>
      <c r="Q61" s="2"/>
      <c r="R61" s="2"/>
      <c r="S61" s="2"/>
      <c r="T61" s="2"/>
      <c r="U61" s="2"/>
      <c r="W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</row>
    <row r="62" spans="2:105" ht="24" customHeight="1" x14ac:dyDescent="0.35">
      <c r="B62" s="2"/>
      <c r="C62" s="2"/>
      <c r="D62" s="2"/>
      <c r="E62" s="2"/>
      <c r="F62" s="2"/>
      <c r="G62" s="2"/>
      <c r="H62" s="2"/>
      <c r="L62" s="2"/>
      <c r="M62" s="2"/>
      <c r="N62" s="2"/>
      <c r="O62" s="2"/>
      <c r="P62" s="2"/>
      <c r="Q62" s="2"/>
      <c r="R62" s="2"/>
      <c r="S62" s="2"/>
      <c r="T62" s="2"/>
      <c r="U62" s="2"/>
      <c r="W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</row>
    <row r="73" spans="2:8" x14ac:dyDescent="0.35">
      <c r="B73" s="11"/>
      <c r="C73" s="11"/>
      <c r="D73" s="11"/>
      <c r="E73" s="11"/>
      <c r="F73" s="11"/>
      <c r="G73" s="11"/>
      <c r="H73" s="11"/>
    </row>
    <row r="74" spans="2:8" x14ac:dyDescent="0.35">
      <c r="B74" s="11"/>
      <c r="C74" s="11"/>
      <c r="D74" s="11"/>
      <c r="E74" s="11"/>
      <c r="F74" s="11"/>
      <c r="G74" s="11"/>
      <c r="H74" s="11"/>
    </row>
    <row r="75" spans="2:8" x14ac:dyDescent="0.35">
      <c r="B75" s="11"/>
      <c r="C75" s="15" t="s">
        <v>4</v>
      </c>
      <c r="D75" s="16">
        <v>23</v>
      </c>
      <c r="E75" s="17" t="e">
        <f>D75/D77</f>
        <v>#REF!</v>
      </c>
      <c r="F75" s="11"/>
      <c r="G75" s="11"/>
      <c r="H75" s="11"/>
    </row>
    <row r="76" spans="2:8" x14ac:dyDescent="0.35">
      <c r="B76" s="11"/>
      <c r="C76" s="15" t="s">
        <v>3</v>
      </c>
      <c r="D76" s="16" t="e">
        <f>#REF!</f>
        <v>#REF!</v>
      </c>
      <c r="E76" s="17" t="e">
        <f>D76/D77</f>
        <v>#REF!</v>
      </c>
      <c r="F76" s="11"/>
      <c r="G76" s="11"/>
      <c r="H76" s="11"/>
    </row>
    <row r="77" spans="2:8" x14ac:dyDescent="0.35">
      <c r="B77" s="11"/>
      <c r="C77" s="18" t="s">
        <v>14</v>
      </c>
      <c r="D77" s="16" t="e">
        <f>SUM(D75:D76)</f>
        <v>#REF!</v>
      </c>
      <c r="E77" s="18"/>
      <c r="F77" s="11"/>
      <c r="G77" s="11"/>
      <c r="H77" s="11"/>
    </row>
    <row r="78" spans="2:8" x14ac:dyDescent="0.35">
      <c r="B78" s="11"/>
      <c r="C78" s="18"/>
      <c r="D78" s="16"/>
      <c r="E78" s="18"/>
      <c r="F78" s="11"/>
      <c r="G78" s="11"/>
      <c r="H78" s="11"/>
    </row>
    <row r="79" spans="2:8" x14ac:dyDescent="0.35">
      <c r="B79" s="11"/>
      <c r="C79" s="18"/>
      <c r="D79" s="16"/>
      <c r="E79" s="18"/>
      <c r="F79" s="11"/>
      <c r="G79" s="11"/>
      <c r="H79" s="11"/>
    </row>
    <row r="80" spans="2:8" x14ac:dyDescent="0.35">
      <c r="B80" s="11"/>
      <c r="C80" s="18"/>
      <c r="D80" s="16"/>
      <c r="E80" s="18"/>
      <c r="F80" s="11"/>
      <c r="G80" s="11"/>
      <c r="H80" s="11"/>
    </row>
    <row r="81" spans="1:21" x14ac:dyDescent="0.35">
      <c r="B81" s="11"/>
      <c r="C81" s="18"/>
      <c r="D81" s="16"/>
      <c r="E81" s="18"/>
      <c r="F81" s="11"/>
      <c r="G81" s="11"/>
      <c r="H81" s="11"/>
    </row>
    <row r="82" spans="1:21" x14ac:dyDescent="0.35">
      <c r="B82" s="11"/>
      <c r="C82" s="18"/>
      <c r="D82" s="16"/>
      <c r="E82" s="18"/>
      <c r="F82" s="11"/>
      <c r="G82" s="11"/>
      <c r="H82" s="11"/>
    </row>
    <row r="83" spans="1:21" x14ac:dyDescent="0.35">
      <c r="B83" s="11"/>
      <c r="C83" s="18" t="s">
        <v>20</v>
      </c>
      <c r="D83" s="17">
        <f>IFERROR(SUM(#REF!)/(#REF!+#REF!),0)</f>
        <v>0</v>
      </c>
      <c r="E83" s="18"/>
      <c r="F83" s="11"/>
      <c r="G83" s="11"/>
      <c r="H83" s="11"/>
    </row>
    <row r="84" spans="1:21" x14ac:dyDescent="0.35">
      <c r="B84" s="11"/>
      <c r="C84" s="18" t="s">
        <v>15</v>
      </c>
      <c r="D84" s="17">
        <f>IFERROR(SUM(#REF!)/(#REF!+#REF!),0)</f>
        <v>0</v>
      </c>
      <c r="E84" s="18"/>
      <c r="F84" s="11"/>
      <c r="G84" s="11"/>
      <c r="H84" s="11"/>
    </row>
    <row r="85" spans="1:21" x14ac:dyDescent="0.35">
      <c r="B85" s="11"/>
      <c r="C85" s="18" t="s">
        <v>16</v>
      </c>
      <c r="D85" s="17">
        <f>IFERROR(SUM(#REF!)/(#REF!+#REF!+#REF!),0)</f>
        <v>0</v>
      </c>
      <c r="E85" s="18"/>
      <c r="F85" s="11"/>
      <c r="G85" s="11"/>
      <c r="H85" s="11"/>
    </row>
    <row r="86" spans="1:21" x14ac:dyDescent="0.35">
      <c r="B86" s="11"/>
      <c r="C86" s="18" t="s">
        <v>21</v>
      </c>
      <c r="D86" s="17">
        <f>IFERROR(SUM(#REF!)/(#REF!+#REF!+#REF!),0)</f>
        <v>0</v>
      </c>
      <c r="E86" s="18"/>
      <c r="F86" s="11"/>
      <c r="G86" s="11"/>
      <c r="H86" s="11"/>
    </row>
    <row r="87" spans="1:21" x14ac:dyDescent="0.35">
      <c r="B87" s="11"/>
      <c r="C87" s="18" t="s">
        <v>17</v>
      </c>
      <c r="D87" s="17">
        <f>IFERROR(SUM(#REF!)/(#REF!+#REF!+#REF!),0)</f>
        <v>0</v>
      </c>
      <c r="E87" s="18"/>
      <c r="F87" s="11"/>
      <c r="G87" s="11"/>
      <c r="H87" s="11"/>
    </row>
    <row r="88" spans="1:21" ht="15.5" x14ac:dyDescent="0.35">
      <c r="B88" s="11"/>
      <c r="C88" s="19" t="s">
        <v>19</v>
      </c>
      <c r="D88" s="20" t="e">
        <f>#REF!</f>
        <v>#REF!</v>
      </c>
      <c r="E88" s="19"/>
      <c r="F88" s="11"/>
      <c r="G88" s="11"/>
      <c r="H88" s="11"/>
    </row>
    <row r="89" spans="1:21" x14ac:dyDescent="0.35">
      <c r="A89" s="25"/>
      <c r="B89" s="22"/>
      <c r="C89" s="22"/>
      <c r="D89" s="22"/>
      <c r="E89" s="22"/>
      <c r="F89" s="22"/>
      <c r="G89" s="22"/>
      <c r="H89" s="22"/>
      <c r="I89" s="25"/>
      <c r="J89" s="25"/>
      <c r="K89" s="25"/>
      <c r="L89" s="22"/>
      <c r="M89" s="22"/>
      <c r="N89" s="22"/>
      <c r="O89" s="22"/>
      <c r="P89" s="22"/>
      <c r="Q89" s="22"/>
      <c r="R89" s="22"/>
      <c r="S89" s="22"/>
      <c r="T89" s="22"/>
      <c r="U89" s="22"/>
    </row>
    <row r="90" spans="1:21" x14ac:dyDescent="0.35">
      <c r="A90" s="25"/>
      <c r="B90" s="23"/>
      <c r="C90" s="23"/>
      <c r="D90" s="23"/>
      <c r="E90" s="23"/>
      <c r="F90" s="23"/>
      <c r="G90" s="23"/>
      <c r="H90" s="23"/>
      <c r="I90" s="26"/>
      <c r="J90" s="26"/>
      <c r="K90" s="26"/>
      <c r="L90" s="23"/>
      <c r="M90" s="23"/>
      <c r="N90" s="23"/>
      <c r="O90" s="23"/>
      <c r="P90" s="23"/>
      <c r="Q90" s="23"/>
      <c r="R90" s="23"/>
      <c r="S90" s="22"/>
      <c r="T90" s="22"/>
      <c r="U90" s="22"/>
    </row>
    <row r="91" spans="1:21" x14ac:dyDescent="0.35">
      <c r="A91" s="25"/>
      <c r="B91" s="23">
        <v>2</v>
      </c>
      <c r="C91" s="22" t="e">
        <f>IF(B91=1,#REF!,#REF!)</f>
        <v>#REF!</v>
      </c>
      <c r="D91" s="23" t="e">
        <f>IF($B$91=1,#REF!,#REF!)</f>
        <v>#REF!</v>
      </c>
      <c r="E91" s="23" t="e">
        <f>IF($B$91=1,#REF!,#REF!)</f>
        <v>#REF!</v>
      </c>
      <c r="F91" s="23" t="e">
        <f>IF($B$91=1,#REF!,#REF!)</f>
        <v>#REF!</v>
      </c>
      <c r="G91" s="23" t="e">
        <f>IF($B$91=1,#REF!,#REF!)</f>
        <v>#REF!</v>
      </c>
      <c r="H91" s="23" t="e">
        <f>IF($B$91=1,#REF!,#REF!)</f>
        <v>#REF!</v>
      </c>
      <c r="I91" s="26" t="e">
        <f>IF($B$91=1,#REF!,#REF!)</f>
        <v>#REF!</v>
      </c>
      <c r="J91" s="26" t="e">
        <f>IF($B$91=1,#REF!,#REF!)</f>
        <v>#REF!</v>
      </c>
      <c r="K91" s="26" t="e">
        <f>IF($B$91=1,#REF!,#REF!)</f>
        <v>#REF!</v>
      </c>
      <c r="L91" s="23" t="e">
        <f>IF($B$91=1,#REF!,#REF!)</f>
        <v>#REF!</v>
      </c>
      <c r="M91" s="23" t="e">
        <f>IF($B$91=1,#REF!,#REF!)</f>
        <v>#REF!</v>
      </c>
      <c r="N91" s="23" t="e">
        <f>IF($B$91=1,#REF!,#REF!)</f>
        <v>#REF!</v>
      </c>
      <c r="O91" s="23" t="e">
        <f>IF($B$91=1,#REF!,#REF!)</f>
        <v>#REF!</v>
      </c>
      <c r="P91" s="23"/>
      <c r="Q91" s="23"/>
      <c r="R91" s="23"/>
      <c r="S91" s="22"/>
      <c r="T91" s="22"/>
      <c r="U91" s="22"/>
    </row>
    <row r="92" spans="1:21" x14ac:dyDescent="0.35">
      <c r="A92" s="25"/>
      <c r="B92" s="23"/>
      <c r="C92" s="23"/>
      <c r="D92" s="23"/>
      <c r="E92" s="23"/>
      <c r="F92" s="23"/>
      <c r="G92" s="23"/>
      <c r="H92" s="23"/>
      <c r="I92" s="26"/>
      <c r="J92" s="26"/>
      <c r="K92" s="26"/>
      <c r="L92" s="23"/>
      <c r="M92" s="23"/>
      <c r="N92" s="23"/>
      <c r="O92" s="23"/>
      <c r="P92" s="23"/>
      <c r="Q92" s="23"/>
      <c r="R92" s="23"/>
      <c r="S92" s="22"/>
      <c r="T92" s="22"/>
      <c r="U92" s="22"/>
    </row>
    <row r="93" spans="1:21" x14ac:dyDescent="0.35">
      <c r="A93" s="25"/>
      <c r="B93" s="23"/>
      <c r="C93" s="23"/>
      <c r="D93" s="23"/>
      <c r="E93" s="23"/>
      <c r="F93" s="23"/>
      <c r="G93" s="23"/>
      <c r="H93" s="23"/>
      <c r="I93" s="26"/>
      <c r="J93" s="26"/>
      <c r="K93" s="26"/>
      <c r="L93" s="23"/>
      <c r="M93" s="23"/>
      <c r="N93" s="23"/>
      <c r="O93" s="23"/>
      <c r="P93" s="23"/>
      <c r="Q93" s="23"/>
      <c r="R93" s="23"/>
      <c r="S93" s="22"/>
      <c r="T93" s="22"/>
      <c r="U93" s="22"/>
    </row>
    <row r="94" spans="1:21" x14ac:dyDescent="0.35">
      <c r="A94" s="25"/>
      <c r="B94" s="23"/>
      <c r="C94" s="23"/>
      <c r="D94" s="23"/>
      <c r="E94" s="23"/>
      <c r="F94" s="23"/>
      <c r="G94" s="23"/>
      <c r="H94" s="23"/>
      <c r="I94" s="26"/>
      <c r="J94" s="26"/>
      <c r="K94" s="26"/>
      <c r="L94" s="23"/>
      <c r="M94" s="23"/>
      <c r="N94" s="23"/>
      <c r="O94" s="23"/>
      <c r="P94" s="23"/>
      <c r="Q94" s="23"/>
      <c r="R94" s="23"/>
      <c r="S94" s="22"/>
      <c r="T94" s="22"/>
      <c r="U94" s="22"/>
    </row>
    <row r="95" spans="1:21" x14ac:dyDescent="0.35">
      <c r="A95" s="25"/>
      <c r="B95" s="22"/>
      <c r="C95" s="22"/>
      <c r="D95" s="22"/>
      <c r="E95" s="22"/>
      <c r="F95" s="22"/>
      <c r="G95" s="22"/>
      <c r="H95" s="22"/>
      <c r="I95" s="25"/>
      <c r="J95" s="25"/>
      <c r="K95" s="25"/>
      <c r="L95" s="22"/>
      <c r="M95" s="22"/>
      <c r="N95" s="22"/>
      <c r="O95" s="22"/>
      <c r="P95" s="22"/>
      <c r="Q95" s="22"/>
      <c r="R95" s="22"/>
      <c r="S95" s="22"/>
      <c r="T95" s="22"/>
      <c r="U95" s="22"/>
    </row>
    <row r="96" spans="1:21" x14ac:dyDescent="0.35">
      <c r="A96" s="25"/>
      <c r="B96" s="22"/>
      <c r="C96" s="22"/>
      <c r="D96" s="22"/>
      <c r="E96" s="22"/>
      <c r="F96" s="22"/>
      <c r="G96" s="22"/>
      <c r="H96" s="22"/>
      <c r="I96" s="25"/>
      <c r="J96" s="25"/>
      <c r="K96" s="25"/>
      <c r="L96" s="22"/>
      <c r="M96" s="22"/>
      <c r="N96" s="22"/>
      <c r="O96" s="22"/>
      <c r="P96" s="22"/>
      <c r="Q96" s="22"/>
      <c r="R96" s="22"/>
      <c r="S96" s="22"/>
      <c r="T96" s="22"/>
      <c r="U96" s="22"/>
    </row>
    <row r="97" spans="1:21" x14ac:dyDescent="0.35">
      <c r="A97" s="25"/>
      <c r="B97" s="22"/>
      <c r="C97" s="22"/>
      <c r="D97" s="22"/>
      <c r="E97" s="22"/>
      <c r="F97" s="22"/>
      <c r="G97" s="22"/>
      <c r="H97" s="22"/>
      <c r="I97" s="25"/>
      <c r="J97" s="25"/>
      <c r="K97" s="25"/>
      <c r="L97" s="22"/>
      <c r="M97" s="22"/>
      <c r="N97" s="22"/>
      <c r="O97" s="22"/>
      <c r="P97" s="22"/>
      <c r="Q97" s="22"/>
      <c r="R97" s="22"/>
      <c r="S97" s="22"/>
      <c r="T97" s="22"/>
      <c r="U97" s="22"/>
    </row>
    <row r="98" spans="1:21" x14ac:dyDescent="0.35">
      <c r="A98" s="25"/>
      <c r="B98" s="22"/>
      <c r="C98" s="22"/>
      <c r="D98" s="22"/>
      <c r="E98" s="22"/>
      <c r="F98" s="22"/>
      <c r="G98" s="22"/>
      <c r="H98" s="22"/>
      <c r="I98" s="25"/>
      <c r="J98" s="25"/>
      <c r="K98" s="25"/>
      <c r="L98" s="22"/>
      <c r="M98" s="22"/>
      <c r="N98" s="22"/>
      <c r="O98" s="22"/>
      <c r="P98" s="22"/>
      <c r="Q98" s="22"/>
      <c r="R98" s="22"/>
      <c r="S98" s="22"/>
      <c r="T98" s="22"/>
      <c r="U98" s="22"/>
    </row>
    <row r="99" spans="1:21" x14ac:dyDescent="0.35">
      <c r="A99" s="25"/>
      <c r="B99" s="22"/>
      <c r="C99" s="22"/>
      <c r="D99" s="22"/>
      <c r="E99" s="22"/>
      <c r="F99" s="22"/>
      <c r="G99" s="22"/>
      <c r="H99" s="22"/>
      <c r="I99" s="25"/>
      <c r="J99" s="25"/>
      <c r="K99" s="25"/>
      <c r="L99" s="22"/>
      <c r="M99" s="22"/>
      <c r="N99" s="22"/>
      <c r="O99" s="22"/>
      <c r="P99" s="22"/>
      <c r="Q99" s="22"/>
      <c r="R99" s="22"/>
      <c r="S99" s="22"/>
      <c r="T99" s="22"/>
      <c r="U99" s="22"/>
    </row>
    <row r="100" spans="1:21" x14ac:dyDescent="0.35">
      <c r="A100" s="25"/>
      <c r="B100" s="22"/>
      <c r="C100" s="22"/>
      <c r="D100" s="22"/>
      <c r="E100" s="22"/>
      <c r="F100" s="22"/>
      <c r="G100" s="22"/>
      <c r="H100" s="22"/>
      <c r="I100" s="25"/>
      <c r="J100" s="25"/>
      <c r="K100" s="25"/>
      <c r="L100" s="22"/>
      <c r="M100" s="22"/>
      <c r="N100" s="22"/>
      <c r="O100" s="22"/>
      <c r="P100" s="22"/>
      <c r="Q100" s="22"/>
      <c r="R100" s="22"/>
      <c r="S100" s="22"/>
      <c r="T100" s="22"/>
      <c r="U100" s="22"/>
    </row>
    <row r="101" spans="1:21" x14ac:dyDescent="0.35">
      <c r="A101" s="25"/>
      <c r="B101" s="22"/>
      <c r="C101" s="22"/>
      <c r="D101" s="22"/>
      <c r="E101" s="22"/>
      <c r="F101" s="22"/>
      <c r="G101" s="22"/>
      <c r="H101" s="22"/>
      <c r="I101" s="25"/>
      <c r="J101" s="25"/>
      <c r="K101" s="25"/>
      <c r="L101" s="22"/>
      <c r="M101" s="22"/>
      <c r="N101" s="22"/>
      <c r="O101" s="22"/>
      <c r="P101" s="22"/>
      <c r="Q101" s="22"/>
      <c r="R101" s="22"/>
      <c r="S101" s="22"/>
      <c r="T101" s="22"/>
      <c r="U101" s="22"/>
    </row>
    <row r="102" spans="1:21" x14ac:dyDescent="0.35">
      <c r="A102" s="25"/>
      <c r="B102" s="22"/>
      <c r="C102" s="22"/>
      <c r="D102" s="22"/>
      <c r="E102" s="22"/>
      <c r="F102" s="22"/>
      <c r="G102" s="22"/>
      <c r="H102" s="22"/>
      <c r="I102" s="25"/>
      <c r="J102" s="25"/>
      <c r="K102" s="25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35">
      <c r="B103" s="22"/>
      <c r="C103" s="22"/>
      <c r="D103" s="22"/>
      <c r="E103" s="22"/>
      <c r="F103" s="22"/>
      <c r="G103" s="22"/>
      <c r="H103" s="22"/>
      <c r="I103" s="25"/>
      <c r="J103" s="25"/>
      <c r="K103" s="25"/>
      <c r="L103" s="22"/>
      <c r="M103" s="22"/>
      <c r="N103" s="22"/>
      <c r="O103" s="22"/>
      <c r="P103" s="22"/>
    </row>
    <row r="104" spans="1:21" x14ac:dyDescent="0.35">
      <c r="B104" s="22"/>
      <c r="C104" s="22"/>
      <c r="D104" s="22"/>
      <c r="E104" s="22"/>
      <c r="F104" s="22"/>
      <c r="G104" s="22"/>
      <c r="H104" s="22"/>
      <c r="I104" s="25"/>
      <c r="J104" s="25"/>
      <c r="K104" s="25"/>
      <c r="L104" s="22"/>
      <c r="M104" s="22"/>
      <c r="N104" s="22"/>
      <c r="O104" s="22"/>
      <c r="P104" s="22"/>
    </row>
    <row r="105" spans="1:21" x14ac:dyDescent="0.35">
      <c r="B105" s="22"/>
      <c r="C105" s="22"/>
      <c r="D105" s="22"/>
      <c r="E105" s="22"/>
      <c r="F105" s="22"/>
      <c r="G105" s="22"/>
      <c r="H105" s="22"/>
      <c r="I105" s="25"/>
      <c r="J105" s="25"/>
      <c r="K105" s="25"/>
      <c r="L105" s="22"/>
      <c r="M105" s="22"/>
      <c r="N105" s="22"/>
      <c r="O105" s="22"/>
      <c r="P105" s="22"/>
    </row>
    <row r="106" spans="1:21" x14ac:dyDescent="0.35">
      <c r="B106" s="22"/>
      <c r="C106" s="22"/>
      <c r="D106" s="22"/>
      <c r="E106" s="22"/>
      <c r="F106" s="22"/>
      <c r="G106" s="22"/>
      <c r="H106" s="22"/>
      <c r="I106" s="25"/>
      <c r="J106" s="25"/>
      <c r="K106" s="25"/>
      <c r="L106" s="22"/>
      <c r="M106" s="22"/>
      <c r="N106" s="22"/>
      <c r="O106" s="22"/>
      <c r="P106" s="22"/>
    </row>
    <row r="107" spans="1:21" x14ac:dyDescent="0.35">
      <c r="B107" s="22"/>
      <c r="C107" s="22"/>
      <c r="D107" s="22"/>
      <c r="E107" s="22"/>
      <c r="F107" s="22"/>
      <c r="G107" s="22"/>
      <c r="H107" s="22"/>
      <c r="I107" s="25"/>
      <c r="J107" s="25"/>
      <c r="K107" s="25"/>
      <c r="L107" s="22"/>
      <c r="M107" s="22"/>
      <c r="N107" s="22"/>
      <c r="O107" s="22"/>
      <c r="P107" s="22"/>
    </row>
  </sheetData>
  <mergeCells count="35">
    <mergeCell ref="B1:F1"/>
    <mergeCell ref="N1:P1"/>
    <mergeCell ref="F12:H12"/>
    <mergeCell ref="B12:D12"/>
    <mergeCell ref="T12:U12"/>
    <mergeCell ref="B8:D8"/>
    <mergeCell ref="F8:H8"/>
    <mergeCell ref="P8:R8"/>
    <mergeCell ref="B9:D10"/>
    <mergeCell ref="F9:H10"/>
    <mergeCell ref="B3:C3"/>
    <mergeCell ref="T3:U3"/>
    <mergeCell ref="F3:Q3"/>
    <mergeCell ref="P18:R18"/>
    <mergeCell ref="L12:N12"/>
    <mergeCell ref="P12:R12"/>
    <mergeCell ref="T8:U8"/>
    <mergeCell ref="T14:U14"/>
    <mergeCell ref="P14:R14"/>
    <mergeCell ref="T15:U16"/>
    <mergeCell ref="T9:U10"/>
    <mergeCell ref="T18:U18"/>
    <mergeCell ref="P15:R16"/>
    <mergeCell ref="L9:N10"/>
    <mergeCell ref="L14:N14"/>
    <mergeCell ref="L18:N18"/>
    <mergeCell ref="L15:N16"/>
    <mergeCell ref="P9:R10"/>
    <mergeCell ref="L8:N8"/>
    <mergeCell ref="B14:D14"/>
    <mergeCell ref="B15:D16"/>
    <mergeCell ref="B18:D18"/>
    <mergeCell ref="F15:H16"/>
    <mergeCell ref="F14:H14"/>
    <mergeCell ref="F18:H18"/>
  </mergeCells>
  <conditionalFormatting sqref="D88">
    <cfRule type="expression" dxfId="28" priority="21">
      <formula>$D$88&lt;0</formula>
    </cfRule>
    <cfRule type="expression" dxfId="27" priority="22">
      <formula>$D$88&gt;0</formula>
    </cfRule>
  </conditionalFormatting>
  <conditionalFormatting sqref="E88">
    <cfRule type="expression" dxfId="26" priority="19">
      <formula>$D$88&lt;0</formula>
    </cfRule>
  </conditionalFormatting>
  <dataValidations count="1">
    <dataValidation type="list" allowBlank="1" showInputMessage="1" showErrorMessage="1" sqref="C2" xr:uid="{00000000-0002-0000-0100-000000000000}">
      <formula1>Months</formula1>
    </dataValidation>
  </dataValidations>
  <pageMargins left="0.25" right="0.25" top="0.75" bottom="0.75" header="0.3" footer="0.3"/>
  <pageSetup scale="70" orientation="landscape" r:id="rId1"/>
  <colBreaks count="1" manualBreakCount="1">
    <brk id="19" max="69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B0256-42D5-42E1-BA76-B563807C0793}">
  <sheetPr codeName="Sheet3"/>
  <dimension ref="B1:S55"/>
  <sheetViews>
    <sheetView showGridLines="0" zoomScale="170" zoomScaleNormal="170" workbookViewId="0">
      <selection activeCell="H13" sqref="H13"/>
    </sheetView>
  </sheetViews>
  <sheetFormatPr defaultRowHeight="14.5" x14ac:dyDescent="0.35"/>
  <cols>
    <col min="1" max="1" width="0.54296875" customWidth="1"/>
    <col min="2" max="2" width="6.81640625" customWidth="1"/>
    <col min="3" max="3" width="6" customWidth="1"/>
    <col min="4" max="4" width="8.7265625" bestFit="1" customWidth="1"/>
    <col min="5" max="5" width="9.81640625" customWidth="1"/>
    <col min="6" max="6" width="10.26953125" customWidth="1"/>
    <col min="7" max="7" width="8.1796875" customWidth="1"/>
    <col min="8" max="8" width="7.26953125" bestFit="1" customWidth="1"/>
    <col min="9" max="15" width="5.26953125" customWidth="1"/>
    <col min="16" max="16" width="7.54296875" bestFit="1" customWidth="1"/>
    <col min="17" max="17" width="4.54296875" customWidth="1"/>
    <col min="18" max="24" width="1" customWidth="1"/>
    <col min="26" max="26" width="15.1796875" bestFit="1" customWidth="1"/>
  </cols>
  <sheetData>
    <row r="1" spans="2:19" ht="5.25" customHeight="1" x14ac:dyDescent="0.35">
      <c r="R1" s="129"/>
      <c r="S1" s="129"/>
    </row>
    <row r="2" spans="2:19" ht="2.25" customHeight="1" x14ac:dyDescent="0.35">
      <c r="R2" s="129"/>
      <c r="S2" s="129"/>
    </row>
    <row r="3" spans="2:19" ht="15" x14ac:dyDescent="0.4">
      <c r="C3" s="43" t="s">
        <v>22</v>
      </c>
      <c r="D3" s="43"/>
      <c r="E3" s="43"/>
      <c r="F3" s="43" t="str">
        <f>Dashboard!C2</f>
        <v>Feb</v>
      </c>
      <c r="G3" s="44" t="e">
        <f ca="1">_xlfn.IFNA(_xlfn.XLOOKUP(_xlfn.XMATCH(F3,R3:R14,0)-1,S3:S14,R3:R14),"Jan")</f>
        <v>#NAME?</v>
      </c>
      <c r="H3" s="44" t="s">
        <v>24</v>
      </c>
      <c r="R3" s="49" t="s">
        <v>0</v>
      </c>
      <c r="S3" s="49">
        <v>1</v>
      </c>
    </row>
    <row r="4" spans="2:19" ht="16" x14ac:dyDescent="0.35">
      <c r="B4" s="38"/>
      <c r="C4" s="130" t="str">
        <f>Data!C6</f>
        <v>Revenues</v>
      </c>
      <c r="D4" s="130"/>
      <c r="E4" s="130"/>
      <c r="F4" s="41">
        <f>+Data!V6</f>
        <v>4740</v>
      </c>
      <c r="G4" s="41">
        <f>+Data!X6</f>
        <v>4915</v>
      </c>
      <c r="H4" s="45">
        <f t="shared" ref="H4:H13" si="0">(F4/G4)-100%</f>
        <v>-3.5605289928789419E-2</v>
      </c>
      <c r="R4" s="49" t="s">
        <v>1</v>
      </c>
      <c r="S4" s="49">
        <v>2</v>
      </c>
    </row>
    <row r="5" spans="2:19" ht="16" x14ac:dyDescent="0.35">
      <c r="B5" s="39"/>
      <c r="C5" s="130" t="str">
        <f>Data!C17</f>
        <v>Profit</v>
      </c>
      <c r="D5" s="130"/>
      <c r="E5" s="130"/>
      <c r="F5" s="41">
        <f>+Data!V17</f>
        <v>1867</v>
      </c>
      <c r="G5" s="41">
        <f>+Data!X17</f>
        <v>2196</v>
      </c>
      <c r="H5" s="45">
        <f t="shared" si="0"/>
        <v>-0.14981785063752273</v>
      </c>
      <c r="R5" s="49" t="s">
        <v>2</v>
      </c>
      <c r="S5" s="49">
        <v>3</v>
      </c>
    </row>
    <row r="6" spans="2:19" ht="16" x14ac:dyDescent="0.35">
      <c r="B6" s="39"/>
      <c r="C6" s="130" t="str">
        <f>+Data!C11</f>
        <v>Orders Placed</v>
      </c>
      <c r="D6" s="130"/>
      <c r="E6" s="130"/>
      <c r="F6" s="41">
        <f>+Data!V11</f>
        <v>56</v>
      </c>
      <c r="G6" s="41">
        <f>+Data!X11</f>
        <v>43</v>
      </c>
      <c r="H6" s="45">
        <f t="shared" si="0"/>
        <v>0.30232558139534893</v>
      </c>
      <c r="R6" s="49" t="s">
        <v>5</v>
      </c>
      <c r="S6" s="49">
        <v>4</v>
      </c>
    </row>
    <row r="7" spans="2:19" ht="16" x14ac:dyDescent="0.35">
      <c r="B7" s="38"/>
      <c r="C7" s="130" t="str">
        <f>+Data!C23</f>
        <v>Conversion Rate</v>
      </c>
      <c r="D7" s="130"/>
      <c r="E7" s="130"/>
      <c r="F7" s="42">
        <f>+Data!V23</f>
        <v>0.15864022662889518</v>
      </c>
      <c r="G7" s="42">
        <f>+Data!X23</f>
        <v>0.11621621621621622</v>
      </c>
      <c r="H7" s="45">
        <f t="shared" si="0"/>
        <v>0.36504381052770274</v>
      </c>
      <c r="R7" s="49" t="s">
        <v>9</v>
      </c>
      <c r="S7" s="49">
        <v>5</v>
      </c>
    </row>
    <row r="8" spans="2:19" ht="16" x14ac:dyDescent="0.35">
      <c r="B8" s="39"/>
      <c r="C8" s="130" t="str">
        <f>+Data!C10</f>
        <v>Customers</v>
      </c>
      <c r="D8" s="130"/>
      <c r="E8" s="130"/>
      <c r="F8" s="41">
        <f>+Data!V10</f>
        <v>30</v>
      </c>
      <c r="G8" s="41">
        <f>+Data!X10</f>
        <v>28</v>
      </c>
      <c r="H8" s="45">
        <f t="shared" si="0"/>
        <v>7.1428571428571397E-2</v>
      </c>
      <c r="R8" s="49" t="s">
        <v>6</v>
      </c>
      <c r="S8" s="49">
        <v>6</v>
      </c>
    </row>
    <row r="9" spans="2:19" ht="16" x14ac:dyDescent="0.35">
      <c r="B9" s="39"/>
      <c r="C9" s="130" t="str">
        <f>+Data!C12</f>
        <v>Purchased Items</v>
      </c>
      <c r="D9" s="130"/>
      <c r="E9" s="130"/>
      <c r="F9" s="41">
        <f>+Data!V12</f>
        <v>49</v>
      </c>
      <c r="G9" s="41">
        <f>+Data!X12</f>
        <v>40</v>
      </c>
      <c r="H9" s="45">
        <f t="shared" si="0"/>
        <v>0.22500000000000009</v>
      </c>
      <c r="R9" s="49" t="s">
        <v>7</v>
      </c>
      <c r="S9" s="49">
        <v>7</v>
      </c>
    </row>
    <row r="10" spans="2:19" ht="16" x14ac:dyDescent="0.35">
      <c r="B10" s="38"/>
      <c r="C10" s="130" t="str">
        <f>+Data!C18</f>
        <v>% Profit</v>
      </c>
      <c r="D10" s="130"/>
      <c r="E10" s="130"/>
      <c r="F10" s="42">
        <f>+Data!V18</f>
        <v>0.3938818565400844</v>
      </c>
      <c r="G10" s="42">
        <f>+Data!X18</f>
        <v>0.44679552390640898</v>
      </c>
      <c r="H10" s="45">
        <f t="shared" si="0"/>
        <v>-0.11842926917371821</v>
      </c>
      <c r="R10" s="49" t="s">
        <v>8</v>
      </c>
      <c r="S10" s="49">
        <v>8</v>
      </c>
    </row>
    <row r="11" spans="2:19" ht="16" x14ac:dyDescent="0.35">
      <c r="B11" s="39"/>
      <c r="C11" s="130" t="str">
        <f>+Data!C9</f>
        <v>Monthly Growth</v>
      </c>
      <c r="D11" s="130"/>
      <c r="E11" s="130"/>
      <c r="F11" s="42">
        <f>+Data!V9</f>
        <v>-3.5605289928789419E-2</v>
      </c>
      <c r="G11" s="42">
        <f>+Data!X9</f>
        <v>0.03</v>
      </c>
      <c r="H11" s="45">
        <f t="shared" si="0"/>
        <v>-2.186842997626314</v>
      </c>
      <c r="R11" s="49" t="s">
        <v>10</v>
      </c>
      <c r="S11" s="49">
        <v>9</v>
      </c>
    </row>
    <row r="12" spans="2:19" ht="16" x14ac:dyDescent="0.35">
      <c r="B12" s="39"/>
      <c r="C12" s="130" t="str">
        <f>+Data!C13</f>
        <v>AVG Sales / Customer</v>
      </c>
      <c r="D12" s="130"/>
      <c r="E12" s="130"/>
      <c r="F12" s="41">
        <f>+Data!V13</f>
        <v>158</v>
      </c>
      <c r="G12" s="41">
        <f>+Data!X13</f>
        <v>175.53571428571428</v>
      </c>
      <c r="H12" s="45">
        <f t="shared" si="0"/>
        <v>-9.9898270600203398E-2</v>
      </c>
      <c r="R12" s="49" t="s">
        <v>11</v>
      </c>
      <c r="S12" s="49">
        <v>10</v>
      </c>
    </row>
    <row r="13" spans="2:19" ht="16" x14ac:dyDescent="0.35">
      <c r="B13" s="39"/>
      <c r="C13" s="130" t="str">
        <f>+Data!C14</f>
        <v>AVG Ticket Sales</v>
      </c>
      <c r="D13" s="130"/>
      <c r="E13" s="130"/>
      <c r="F13" s="41">
        <f>+Data!V14</f>
        <v>84.642857142857139</v>
      </c>
      <c r="G13" s="41">
        <f>+Data!X14</f>
        <v>114.30232558139535</v>
      </c>
      <c r="H13" s="45">
        <f t="shared" si="0"/>
        <v>-0.25948263333817767</v>
      </c>
      <c r="R13" s="49" t="s">
        <v>12</v>
      </c>
      <c r="S13" s="49">
        <v>11</v>
      </c>
    </row>
    <row r="14" spans="2:19" ht="16" x14ac:dyDescent="0.35">
      <c r="B14" s="37"/>
      <c r="R14" s="49"/>
      <c r="S14" s="49"/>
    </row>
    <row r="15" spans="2:19" x14ac:dyDescent="0.35">
      <c r="B15" s="131"/>
      <c r="C15" s="130"/>
      <c r="D15" s="130"/>
      <c r="E15" s="130"/>
      <c r="F15" s="96"/>
      <c r="G15" s="42"/>
      <c r="H15" s="42"/>
    </row>
    <row r="16" spans="2:19" x14ac:dyDescent="0.35">
      <c r="B16" s="131"/>
      <c r="C16" s="130"/>
      <c r="D16" s="130"/>
      <c r="E16" s="130"/>
      <c r="F16" s="96"/>
      <c r="G16" s="42"/>
      <c r="H16" s="42"/>
    </row>
    <row r="17" spans="2:17" x14ac:dyDescent="0.35">
      <c r="B17" s="131"/>
      <c r="C17" s="130"/>
      <c r="D17" s="130"/>
      <c r="E17" s="130"/>
      <c r="F17" s="96"/>
      <c r="G17" s="42"/>
      <c r="H17" s="42"/>
    </row>
    <row r="18" spans="2:17" x14ac:dyDescent="0.35">
      <c r="B18" s="131"/>
      <c r="C18" s="130"/>
      <c r="D18" s="130"/>
      <c r="E18" s="130"/>
      <c r="F18" s="97"/>
      <c r="G18" s="97"/>
      <c r="H18" s="42"/>
    </row>
    <row r="19" spans="2:17" x14ac:dyDescent="0.35">
      <c r="B19" s="131"/>
      <c r="C19" s="130"/>
      <c r="D19" s="130"/>
      <c r="E19" s="130"/>
      <c r="F19" s="97"/>
      <c r="G19" s="97"/>
      <c r="H19" s="42"/>
    </row>
    <row r="20" spans="2:17" x14ac:dyDescent="0.35">
      <c r="B20" s="131"/>
      <c r="C20" s="130"/>
      <c r="D20" s="130"/>
      <c r="E20" s="130"/>
      <c r="F20" s="97"/>
      <c r="G20" s="97"/>
      <c r="H20" s="42"/>
    </row>
    <row r="21" spans="2:17" ht="16" x14ac:dyDescent="0.35">
      <c r="B21" s="58"/>
      <c r="C21" s="40"/>
      <c r="D21" s="40"/>
      <c r="E21" s="40"/>
    </row>
    <row r="22" spans="2:17" ht="16" x14ac:dyDescent="0.35">
      <c r="B22" s="58"/>
      <c r="C22" s="40"/>
      <c r="D22" s="40"/>
      <c r="E22" s="40"/>
    </row>
    <row r="23" spans="2:17" x14ac:dyDescent="0.35">
      <c r="C23" s="98"/>
      <c r="D23" s="99"/>
      <c r="E23" s="98"/>
    </row>
    <row r="24" spans="2:17" x14ac:dyDescent="0.35">
      <c r="C24" s="100"/>
      <c r="D24" s="101"/>
      <c r="E24" s="101"/>
      <c r="H24" s="32"/>
    </row>
    <row r="25" spans="2:17" x14ac:dyDescent="0.35">
      <c r="C25" s="100"/>
      <c r="D25" s="101"/>
      <c r="E25" s="101"/>
      <c r="H25" s="32"/>
    </row>
    <row r="26" spans="2:17" x14ac:dyDescent="0.35">
      <c r="C26" s="100"/>
      <c r="D26" s="101"/>
      <c r="E26" s="101"/>
      <c r="H26" s="32"/>
    </row>
    <row r="27" spans="2:17" x14ac:dyDescent="0.35">
      <c r="H27" s="32"/>
    </row>
    <row r="28" spans="2:17" x14ac:dyDescent="0.35">
      <c r="B28" s="29"/>
      <c r="H28" s="34"/>
    </row>
    <row r="29" spans="2:17" x14ac:dyDescent="0.35">
      <c r="B29" s="29"/>
      <c r="C29" s="29"/>
      <c r="D29" s="29"/>
      <c r="E29" s="29"/>
      <c r="F29" s="29"/>
      <c r="H29" s="32"/>
    </row>
    <row r="30" spans="2:17" x14ac:dyDescent="0.35">
      <c r="B30" s="29"/>
      <c r="C30" s="29"/>
      <c r="D30" s="29"/>
      <c r="E30" s="29"/>
      <c r="F30" s="29"/>
      <c r="H30" s="32"/>
    </row>
    <row r="31" spans="2:17" x14ac:dyDescent="0.35">
      <c r="B31" s="29"/>
      <c r="C31" s="29"/>
      <c r="D31" s="29"/>
      <c r="E31" s="29"/>
      <c r="F31" s="29"/>
      <c r="H31" s="34"/>
    </row>
    <row r="32" spans="2:17" x14ac:dyDescent="0.35">
      <c r="B32" s="29"/>
      <c r="C32" s="29"/>
      <c r="D32" s="29"/>
      <c r="E32" s="29"/>
      <c r="F32" s="29"/>
      <c r="H32" s="32"/>
      <c r="I32" s="33"/>
      <c r="J32" s="33"/>
      <c r="K32" s="33"/>
      <c r="L32" s="33"/>
      <c r="M32" s="33"/>
      <c r="N32" s="33"/>
      <c r="O32" s="33"/>
      <c r="P32" s="102"/>
      <c r="Q32" s="33"/>
    </row>
    <row r="33" spans="2:17" x14ac:dyDescent="0.35">
      <c r="B33" s="29"/>
      <c r="C33" s="29"/>
      <c r="D33" s="29"/>
      <c r="E33" s="29"/>
      <c r="F33" s="29"/>
      <c r="H33" s="32"/>
      <c r="I33" s="33"/>
      <c r="J33" s="33"/>
      <c r="K33" s="33"/>
      <c r="L33" s="33"/>
      <c r="M33" s="33"/>
      <c r="N33" s="33"/>
      <c r="O33" s="33"/>
      <c r="P33" s="31"/>
      <c r="Q33" s="33"/>
    </row>
    <row r="34" spans="2:17" x14ac:dyDescent="0.35">
      <c r="B34" s="29"/>
      <c r="C34" s="29"/>
      <c r="D34" s="29"/>
      <c r="E34" s="29"/>
      <c r="F34" s="29"/>
      <c r="H34" s="34"/>
      <c r="I34" s="33"/>
      <c r="J34" s="33"/>
      <c r="K34" s="33"/>
      <c r="L34" s="33"/>
      <c r="M34" s="33"/>
      <c r="N34" s="33"/>
      <c r="O34" s="33"/>
      <c r="P34" s="31"/>
      <c r="Q34" s="33"/>
    </row>
    <row r="35" spans="2:17" x14ac:dyDescent="0.35">
      <c r="B35" s="29"/>
      <c r="C35" s="29"/>
      <c r="D35" s="29"/>
      <c r="E35" s="29"/>
      <c r="F35" s="29"/>
    </row>
    <row r="36" spans="2:17" x14ac:dyDescent="0.35">
      <c r="B36" s="29"/>
      <c r="C36" s="29"/>
      <c r="D36" s="29"/>
      <c r="E36" s="29"/>
      <c r="F36" s="29"/>
    </row>
    <row r="37" spans="2:17" x14ac:dyDescent="0.35">
      <c r="B37" s="29"/>
      <c r="C37" s="29"/>
      <c r="D37" s="29"/>
      <c r="E37" s="29"/>
      <c r="F37" s="29"/>
    </row>
    <row r="38" spans="2:17" ht="22.5" customHeight="1" x14ac:dyDescent="0.6">
      <c r="B38" s="29"/>
      <c r="C38" s="29"/>
      <c r="D38" s="29"/>
      <c r="E38" s="29"/>
      <c r="F38" s="29"/>
      <c r="H38" s="36"/>
    </row>
    <row r="39" spans="2:17" x14ac:dyDescent="0.35">
      <c r="B39" s="29"/>
      <c r="C39" s="29"/>
      <c r="D39" s="29"/>
      <c r="E39" s="29"/>
      <c r="F39" s="29"/>
    </row>
    <row r="40" spans="2:17" ht="15.75" customHeight="1" x14ac:dyDescent="0.6">
      <c r="B40" s="29"/>
      <c r="C40" s="29"/>
      <c r="D40" s="29"/>
      <c r="E40" s="29"/>
      <c r="F40" s="29"/>
      <c r="H40" s="36"/>
    </row>
    <row r="41" spans="2:17" x14ac:dyDescent="0.35">
      <c r="C41" s="29"/>
      <c r="D41" s="29"/>
      <c r="E41" s="29"/>
      <c r="F41" s="29"/>
    </row>
    <row r="43" spans="2:17" s="29" customFormat="1" x14ac:dyDescent="0.35">
      <c r="B43"/>
      <c r="C43"/>
      <c r="D43"/>
      <c r="E43"/>
      <c r="F43"/>
    </row>
    <row r="44" spans="2:17" s="29" customFormat="1" x14ac:dyDescent="0.35">
      <c r="B44"/>
      <c r="C44"/>
      <c r="D44"/>
      <c r="E44"/>
      <c r="F44"/>
    </row>
    <row r="45" spans="2:17" s="29" customFormat="1" x14ac:dyDescent="0.35">
      <c r="B45"/>
      <c r="C45"/>
      <c r="D45"/>
      <c r="E45"/>
      <c r="F45"/>
    </row>
    <row r="46" spans="2:17" s="29" customFormat="1" x14ac:dyDescent="0.35">
      <c r="B46"/>
      <c r="C46"/>
      <c r="D46"/>
      <c r="E46"/>
      <c r="F46"/>
    </row>
    <row r="47" spans="2:17" s="29" customFormat="1" x14ac:dyDescent="0.35">
      <c r="B47"/>
      <c r="C47"/>
      <c r="D47"/>
      <c r="E47"/>
      <c r="F47"/>
    </row>
    <row r="48" spans="2:17" s="29" customFormat="1" x14ac:dyDescent="0.35">
      <c r="B48"/>
      <c r="C48"/>
      <c r="D48"/>
      <c r="E48"/>
      <c r="F48"/>
    </row>
    <row r="49" spans="2:18" s="29" customFormat="1" x14ac:dyDescent="0.35">
      <c r="B49"/>
      <c r="C49"/>
      <c r="D49"/>
      <c r="E49"/>
      <c r="F49"/>
    </row>
    <row r="50" spans="2:18" s="29" customFormat="1" x14ac:dyDescent="0.35">
      <c r="B50"/>
      <c r="C50"/>
      <c r="D50"/>
      <c r="E50"/>
      <c r="F50"/>
    </row>
    <row r="51" spans="2:18" s="29" customFormat="1" x14ac:dyDescent="0.35">
      <c r="B51"/>
      <c r="C51"/>
      <c r="D51"/>
      <c r="E51"/>
      <c r="F51"/>
    </row>
    <row r="52" spans="2:18" s="29" customFormat="1" x14ac:dyDescent="0.35">
      <c r="B52"/>
      <c r="C52"/>
      <c r="D52"/>
      <c r="E52"/>
      <c r="F52"/>
    </row>
    <row r="53" spans="2:18" s="29" customFormat="1" x14ac:dyDescent="0.35">
      <c r="B53"/>
      <c r="C53"/>
      <c r="D53"/>
      <c r="E53"/>
      <c r="F53"/>
    </row>
    <row r="54" spans="2:18" s="29" customFormat="1" x14ac:dyDescent="0.35">
      <c r="B54"/>
      <c r="C54"/>
      <c r="D54"/>
      <c r="E54"/>
      <c r="F54"/>
    </row>
    <row r="55" spans="2:18" s="29" customFormat="1" ht="15" thickBot="1" x14ac:dyDescent="0.4">
      <c r="B55"/>
      <c r="C55"/>
      <c r="D55"/>
      <c r="E55"/>
      <c r="F55"/>
      <c r="R55" s="30"/>
    </row>
  </sheetData>
  <mergeCells count="19">
    <mergeCell ref="C16:E16"/>
    <mergeCell ref="C17:E17"/>
    <mergeCell ref="C13:E13"/>
    <mergeCell ref="B18:B20"/>
    <mergeCell ref="C18:E18"/>
    <mergeCell ref="C19:E19"/>
    <mergeCell ref="C20:E20"/>
    <mergeCell ref="B15:B17"/>
    <mergeCell ref="C15:E15"/>
    <mergeCell ref="R1:S2"/>
    <mergeCell ref="C4:E4"/>
    <mergeCell ref="C5:E5"/>
    <mergeCell ref="C6:E6"/>
    <mergeCell ref="C12:E12"/>
    <mergeCell ref="C7:E7"/>
    <mergeCell ref="C8:E8"/>
    <mergeCell ref="C9:E9"/>
    <mergeCell ref="C10:E10"/>
    <mergeCell ref="C11:E11"/>
  </mergeCells>
  <phoneticPr fontId="15" type="noConversion"/>
  <conditionalFormatting sqref="P32">
    <cfRule type="expression" dxfId="25" priority="74">
      <formula>$P$32&lt;0</formula>
    </cfRule>
    <cfRule type="expression" dxfId="24" priority="75">
      <formula>$P$32&gt;0</formula>
    </cfRule>
  </conditionalFormatting>
  <conditionalFormatting sqref="P33">
    <cfRule type="expression" dxfId="23" priority="70">
      <formula>$P$33&lt;0</formula>
    </cfRule>
    <cfRule type="expression" dxfId="22" priority="71">
      <formula>$P$33&gt;0</formula>
    </cfRule>
  </conditionalFormatting>
  <conditionalFormatting sqref="P34">
    <cfRule type="expression" dxfId="21" priority="66">
      <formula>$P$34&gt;0</formula>
    </cfRule>
    <cfRule type="expression" dxfId="20" priority="67">
      <formula>$P$34&lt;0</formula>
    </cfRule>
  </conditionalFormatting>
  <conditionalFormatting sqref="H4">
    <cfRule type="expression" dxfId="19" priority="19">
      <formula>$H$4&lt;0</formula>
    </cfRule>
    <cfRule type="expression" dxfId="18" priority="20">
      <formula>$H$4&gt;0</formula>
    </cfRule>
  </conditionalFormatting>
  <conditionalFormatting sqref="H5">
    <cfRule type="expression" dxfId="17" priority="17">
      <formula>$H$5&lt;0</formula>
    </cfRule>
    <cfRule type="expression" dxfId="16" priority="18">
      <formula>$H$5&gt;0</formula>
    </cfRule>
  </conditionalFormatting>
  <conditionalFormatting sqref="H6">
    <cfRule type="expression" dxfId="15" priority="15">
      <formula>$H$6&lt;0</formula>
    </cfRule>
    <cfRule type="expression" dxfId="14" priority="16">
      <formula>$H$6&gt;0</formula>
    </cfRule>
  </conditionalFormatting>
  <conditionalFormatting sqref="H7">
    <cfRule type="expression" dxfId="13" priority="13">
      <formula>$H$7&lt;0</formula>
    </cfRule>
    <cfRule type="expression" dxfId="12" priority="14">
      <formula>$H$7&gt;0</formula>
    </cfRule>
  </conditionalFormatting>
  <conditionalFormatting sqref="H8">
    <cfRule type="expression" dxfId="11" priority="11">
      <formula>$H$8&lt;0</formula>
    </cfRule>
    <cfRule type="expression" dxfId="10" priority="12">
      <formula>$H$8&gt;0</formula>
    </cfRule>
  </conditionalFormatting>
  <conditionalFormatting sqref="H9">
    <cfRule type="expression" dxfId="9" priority="9">
      <formula>$H$9&lt;0</formula>
    </cfRule>
    <cfRule type="expression" dxfId="8" priority="10">
      <formula>$H$9&gt;0</formula>
    </cfRule>
  </conditionalFormatting>
  <conditionalFormatting sqref="H10">
    <cfRule type="expression" dxfId="7" priority="7">
      <formula>$H$10&lt;0</formula>
    </cfRule>
    <cfRule type="expression" dxfId="6" priority="8">
      <formula>$H$10&gt;0</formula>
    </cfRule>
  </conditionalFormatting>
  <conditionalFormatting sqref="H11">
    <cfRule type="expression" dxfId="5" priority="5">
      <formula>$H$11&lt;0</formula>
    </cfRule>
    <cfRule type="expression" dxfId="4" priority="6">
      <formula>$H$11&gt;0</formula>
    </cfRule>
  </conditionalFormatting>
  <conditionalFormatting sqref="H12">
    <cfRule type="expression" dxfId="3" priority="3">
      <formula>$H$12&lt;0</formula>
    </cfRule>
    <cfRule type="expression" dxfId="2" priority="4">
      <formula>$H$12&gt;0</formula>
    </cfRule>
  </conditionalFormatting>
  <conditionalFormatting sqref="H13">
    <cfRule type="expression" dxfId="1" priority="1">
      <formula>$H$13&lt;0</formula>
    </cfRule>
    <cfRule type="expression" dxfId="0" priority="2">
      <formula>$H$13&gt;0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Dashboard</vt:lpstr>
      <vt:lpstr>calc</vt:lpstr>
      <vt:lpstr>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Neha Israr</dc:creator>
  <cp:lastModifiedBy>Syed Muhammad Zain Mohiuddin</cp:lastModifiedBy>
  <dcterms:created xsi:type="dcterms:W3CDTF">2016-06-07T02:04:43Z</dcterms:created>
  <dcterms:modified xsi:type="dcterms:W3CDTF">2024-11-27T10:58:26Z</dcterms:modified>
</cp:coreProperties>
</file>